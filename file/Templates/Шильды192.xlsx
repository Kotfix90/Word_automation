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DF051192-871A-4EBD-8625-720F951D6D75}" xr6:coauthVersionLast="47" xr6:coauthVersionMax="47" xr10:uidLastSave="{00000000-0000-0000-0000-000000000000}"/>
  <bookViews>
    <workbookView xWindow="-28920" yWindow="-120" windowWidth="29040" windowHeight="15840" firstSheet="1" activeTab="1" xr2:uid="{00000000-000D-0000-FFFF-FFFF00000000}"/>
  </bookViews>
  <sheets>
    <sheet name="Без ТЭГОВ" sheetId="1" state="hidden" r:id="rId1"/>
    <sheet name="192" sheetId="5" r:id="rId2"/>
  </sheets>
  <definedNames>
    <definedName name="_xlnm._FilterDatabase" localSheetId="1" hidden="1">'192'!$A$1:$AK$3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7" i="5" l="1"/>
  <c r="T7" i="5"/>
  <c r="V7" i="5"/>
  <c r="X7" i="5"/>
  <c r="Z7" i="5"/>
  <c r="AB7" i="5"/>
  <c r="AC7" i="5"/>
  <c r="P8" i="5"/>
  <c r="T8" i="5"/>
  <c r="V8" i="5"/>
  <c r="X8" i="5"/>
  <c r="Z8" i="5"/>
  <c r="AB8" i="5"/>
  <c r="AC8" i="5"/>
  <c r="P9" i="5"/>
  <c r="T9" i="5"/>
  <c r="V9" i="5"/>
  <c r="X9" i="5"/>
  <c r="Z9" i="5"/>
  <c r="AB9" i="5"/>
  <c r="AC9" i="5"/>
  <c r="P10" i="5"/>
  <c r="T10" i="5"/>
  <c r="V10" i="5"/>
  <c r="X10" i="5"/>
  <c r="Z10" i="5"/>
  <c r="AB10" i="5"/>
  <c r="AC10" i="5"/>
  <c r="P11" i="5"/>
  <c r="T11" i="5"/>
  <c r="V11" i="5"/>
  <c r="X11" i="5"/>
  <c r="Z11" i="5"/>
  <c r="AB11" i="5"/>
  <c r="AC11" i="5"/>
  <c r="P12" i="5"/>
  <c r="T12" i="5"/>
  <c r="V12" i="5"/>
  <c r="X12" i="5"/>
  <c r="Z12" i="5"/>
  <c r="AB12" i="5"/>
  <c r="AC12" i="5"/>
  <c r="P13" i="5"/>
  <c r="T13" i="5"/>
  <c r="V13" i="5"/>
  <c r="X13" i="5"/>
  <c r="Z13" i="5"/>
  <c r="AB13" i="5"/>
  <c r="AC13" i="5"/>
  <c r="P20" i="5" l="1"/>
  <c r="T20" i="5"/>
  <c r="V20" i="5"/>
  <c r="X20" i="5"/>
  <c r="Z20" i="5"/>
  <c r="AB20" i="5"/>
  <c r="AC20" i="5"/>
  <c r="P21" i="5"/>
  <c r="T21" i="5"/>
  <c r="V21" i="5"/>
  <c r="X21" i="5"/>
  <c r="Z21" i="5"/>
  <c r="AB21" i="5"/>
  <c r="AC21" i="5"/>
  <c r="AC19" i="5"/>
  <c r="AB19" i="5"/>
  <c r="Z19" i="5"/>
  <c r="X19" i="5"/>
  <c r="V19" i="5"/>
  <c r="T19" i="5"/>
  <c r="P19" i="5"/>
  <c r="AC18" i="5"/>
  <c r="AB18" i="5"/>
  <c r="Z18" i="5"/>
  <c r="X18" i="5"/>
  <c r="V18" i="5"/>
  <c r="T18" i="5"/>
  <c r="P18" i="5"/>
  <c r="P16" i="5"/>
  <c r="T16" i="5"/>
  <c r="V16" i="5"/>
  <c r="X16" i="5"/>
  <c r="Z16" i="5"/>
  <c r="AB16" i="5"/>
  <c r="AC16" i="5"/>
  <c r="P17" i="5"/>
  <c r="T17" i="5"/>
  <c r="V17" i="5"/>
  <c r="X17" i="5"/>
  <c r="Z17" i="5"/>
  <c r="AB17" i="5"/>
  <c r="AC17" i="5"/>
  <c r="AC15" i="5"/>
  <c r="AB15" i="5"/>
  <c r="Z15" i="5"/>
  <c r="X15" i="5"/>
  <c r="V15" i="5"/>
  <c r="T15" i="5"/>
  <c r="P15" i="5"/>
  <c r="AC14" i="5"/>
  <c r="AB14" i="5"/>
  <c r="Z14" i="5"/>
  <c r="X14" i="5"/>
  <c r="V14" i="5"/>
  <c r="T14" i="5"/>
  <c r="P14" i="5"/>
  <c r="P5" i="5"/>
  <c r="T5" i="5"/>
  <c r="V5" i="5"/>
  <c r="X5" i="5"/>
  <c r="Z5" i="5"/>
  <c r="AB5" i="5"/>
  <c r="AC5" i="5"/>
  <c r="P6" i="5"/>
  <c r="T6" i="5"/>
  <c r="V6" i="5"/>
  <c r="X6" i="5"/>
  <c r="Z6" i="5"/>
  <c r="AB6" i="5"/>
  <c r="AC6" i="5"/>
  <c r="AC4" i="5"/>
  <c r="AB4" i="5"/>
  <c r="Z4" i="5"/>
  <c r="X4" i="5"/>
  <c r="V4" i="5"/>
  <c r="T4" i="5"/>
  <c r="P4" i="5"/>
  <c r="AC3" i="5" l="1"/>
  <c r="AB3" i="5"/>
  <c r="Z3" i="5"/>
  <c r="X3" i="5"/>
  <c r="V3" i="5"/>
  <c r="T3" i="5"/>
  <c r="P3" i="5"/>
  <c r="Z4" i="1" l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3" i="1"/>
  <c r="T4" i="1" l="1"/>
  <c r="V4" i="1"/>
  <c r="X4" i="1"/>
  <c r="AB4" i="1"/>
  <c r="AC4" i="1"/>
  <c r="T5" i="1"/>
  <c r="V5" i="1"/>
  <c r="X5" i="1"/>
  <c r="AB5" i="1"/>
  <c r="AC5" i="1"/>
  <c r="T6" i="1"/>
  <c r="V6" i="1"/>
  <c r="X6" i="1"/>
  <c r="AB6" i="1"/>
  <c r="AC6" i="1"/>
  <c r="T7" i="1"/>
  <c r="V7" i="1"/>
  <c r="X7" i="1"/>
  <c r="AB7" i="1"/>
  <c r="AC7" i="1"/>
  <c r="T8" i="1"/>
  <c r="V8" i="1"/>
  <c r="X8" i="1"/>
  <c r="AB8" i="1"/>
  <c r="AC8" i="1"/>
  <c r="T9" i="1"/>
  <c r="V9" i="1"/>
  <c r="X9" i="1"/>
  <c r="AB9" i="1"/>
  <c r="AC9" i="1"/>
  <c r="T10" i="1"/>
  <c r="V10" i="1"/>
  <c r="X10" i="1"/>
  <c r="AB10" i="1"/>
  <c r="AC10" i="1"/>
  <c r="T11" i="1"/>
  <c r="V11" i="1"/>
  <c r="X11" i="1"/>
  <c r="AB11" i="1"/>
  <c r="AC11" i="1"/>
  <c r="T12" i="1"/>
  <c r="V12" i="1"/>
  <c r="X12" i="1"/>
  <c r="AB12" i="1"/>
  <c r="AC12" i="1"/>
  <c r="T13" i="1"/>
  <c r="V13" i="1"/>
  <c r="X13" i="1"/>
  <c r="AB13" i="1"/>
  <c r="AC13" i="1"/>
  <c r="T14" i="1"/>
  <c r="V14" i="1"/>
  <c r="X14" i="1"/>
  <c r="AB14" i="1"/>
  <c r="AC14" i="1"/>
  <c r="T15" i="1"/>
  <c r="V15" i="1"/>
  <c r="X15" i="1"/>
  <c r="AB15" i="1"/>
  <c r="AC15" i="1"/>
  <c r="T16" i="1"/>
  <c r="V16" i="1"/>
  <c r="X16" i="1"/>
  <c r="AB16" i="1"/>
  <c r="AC16" i="1"/>
  <c r="T17" i="1"/>
  <c r="V17" i="1"/>
  <c r="X17" i="1"/>
  <c r="AB17" i="1"/>
  <c r="AC17" i="1"/>
  <c r="T18" i="1"/>
  <c r="V18" i="1"/>
  <c r="X18" i="1"/>
  <c r="AB18" i="1"/>
  <c r="AC18" i="1"/>
  <c r="T19" i="1"/>
  <c r="V19" i="1"/>
  <c r="X19" i="1"/>
  <c r="AB19" i="1"/>
  <c r="AC19" i="1"/>
  <c r="T20" i="1"/>
  <c r="V20" i="1"/>
  <c r="X20" i="1"/>
  <c r="AB20" i="1"/>
  <c r="AC20" i="1"/>
  <c r="T21" i="1"/>
  <c r="V21" i="1"/>
  <c r="X21" i="1"/>
  <c r="AB21" i="1"/>
  <c r="AC21" i="1"/>
  <c r="T22" i="1"/>
  <c r="V22" i="1"/>
  <c r="X22" i="1"/>
  <c r="AB22" i="1"/>
  <c r="AC22" i="1"/>
  <c r="T23" i="1"/>
  <c r="V23" i="1"/>
  <c r="X23" i="1"/>
  <c r="AB23" i="1"/>
  <c r="AC23" i="1"/>
  <c r="T24" i="1"/>
  <c r="V24" i="1"/>
  <c r="X24" i="1"/>
  <c r="AB24" i="1"/>
  <c r="AC24" i="1"/>
  <c r="T25" i="1"/>
  <c r="V25" i="1"/>
  <c r="X25" i="1"/>
  <c r="AB25" i="1"/>
  <c r="AC25" i="1"/>
  <c r="T26" i="1"/>
  <c r="V26" i="1"/>
  <c r="X26" i="1"/>
  <c r="AB26" i="1"/>
  <c r="AC26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4" i="1"/>
  <c r="AC3" i="1" l="1"/>
  <c r="AB3" i="1"/>
  <c r="X3" i="1"/>
  <c r="V3" i="1"/>
  <c r="T3" i="1"/>
  <c r="P3" i="1"/>
</calcChain>
</file>

<file path=xl/sharedStrings.xml><?xml version="1.0" encoding="utf-8"?>
<sst xmlns="http://schemas.openxmlformats.org/spreadsheetml/2006/main" count="1032" uniqueCount="85">
  <si>
    <t>Кран шаровой</t>
  </si>
  <si>
    <t>Product
/
Продукт</t>
  </si>
  <si>
    <t>DN</t>
  </si>
  <si>
    <r>
      <rPr>
        <b/>
        <sz val="11"/>
        <color theme="1"/>
        <rFont val="Calibri"/>
        <family val="2"/>
        <charset val="204"/>
        <scheme val="minor"/>
      </rPr>
      <t>DN</t>
    </r>
    <r>
      <rPr>
        <sz val="11"/>
        <color theme="1"/>
        <rFont val="Calibri"/>
        <family val="2"/>
        <scheme val="minor"/>
      </rPr>
      <t xml:space="preserve"> (mm)</t>
    </r>
  </si>
  <si>
    <r>
      <rPr>
        <b/>
        <sz val="11"/>
        <color theme="1"/>
        <rFont val="Calibri"/>
        <family val="2"/>
        <charset val="204"/>
        <scheme val="minor"/>
      </rPr>
      <t>PN</t>
    </r>
    <r>
      <rPr>
        <sz val="11"/>
        <color theme="1"/>
        <rFont val="Calibri"/>
        <family val="2"/>
        <scheme val="minor"/>
      </rPr>
      <t>(bar)</t>
    </r>
  </si>
  <si>
    <t>Type
/
Модель</t>
  </si>
  <si>
    <t>Body
/
Корпус</t>
  </si>
  <si>
    <t>Ball
/
Шар</t>
  </si>
  <si>
    <t>Serial number
/
Завод. №</t>
  </si>
  <si>
    <t>Date
/
Дата</t>
  </si>
  <si>
    <t>ΔPmax, MPa</t>
  </si>
  <si>
    <t>КШ-Z.F.Р.М.3.5.ХЛ1.ММ.А</t>
  </si>
  <si>
    <t>Weight
/
Масса (смотри кталог ZH)</t>
  </si>
  <si>
    <t>ΔPmax=</t>
  </si>
  <si>
    <t>(МПа)</t>
  </si>
  <si>
    <t>02.</t>
  </si>
  <si>
    <t>Pos.Spec
/ позиция (тип) по спецификации</t>
  </si>
  <si>
    <t>Item № /
штука №</t>
  </si>
  <si>
    <t>01</t>
  </si>
  <si>
    <t>–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</si>
  <si>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</si>
  <si>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</si>
  <si>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</si>
  <si>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</si>
  <si>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</si>
  <si>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</si>
  <si>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</si>
  <si>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</si>
  <si>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</si>
  <si>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</si>
  <si>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</si>
  <si>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</si>
  <si>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</si>
  <si>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</si>
  <si>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</si>
  <si>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</si>
  <si>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</si>
  <si>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</si>
  <si>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</si>
  <si>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</si>
  <si>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</si>
  <si>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</si>
  <si>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</si>
  <si>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</si>
  <si>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КШ-Z</t>
  </si>
  <si>
    <t>СДЕЛАНО В КИТАЕ</t>
  </si>
  <si>
    <t>Manufacture's Country / страна-изготовитель</t>
  </si>
  <si>
    <t>Manufacture/ завод изготовитель</t>
  </si>
  <si>
    <t>Dimensions of nameplates (check the drawings) /Размер табличек (смотри чертежи)</t>
  </si>
  <si>
    <t>Корпус ASTM A350 LF2M</t>
  </si>
  <si>
    <t>Шар ASTM A182 F316+TC</t>
  </si>
  <si>
    <t>PN</t>
  </si>
  <si>
    <t>3 кг</t>
  </si>
  <si>
    <t>!заполнить!</t>
  </si>
  <si>
    <t>Spec #</t>
  </si>
  <si>
    <t>Material of nameplate: Stainless steel 0,5мм
Dimension of nameplate: 100мм Х 12мм
Q-ty of holes: 2
! LASER ENGRAVING !</t>
  </si>
  <si>
    <t>LIANGGU VALVE GROUP CO., LTD.</t>
  </si>
  <si>
    <t>t calc 
/
t расч °С</t>
  </si>
  <si>
    <t xml:space="preserve"> t расч =</t>
  </si>
  <si>
    <t>°С</t>
  </si>
  <si>
    <t>EX explosion protection marking
/
Маркировка взрывозащиты EX</t>
  </si>
  <si>
    <t>Estimated earthquake resistance on the MSK 64 scale
/
Расчетная сейсмостойкость по шкале MSK 64</t>
  </si>
  <si>
    <t>Certificate number TR TC 012
/
Номер сертификата ТР ТС 012</t>
  </si>
  <si>
    <t>№ ЕАЭС RU C-CN-АЖ58.В.05986/24</t>
  </si>
  <si>
    <t xml:space="preserve">Weight
/
Масса (кг) </t>
  </si>
  <si>
    <t>02</t>
  </si>
  <si>
    <t>03</t>
  </si>
  <si>
    <t>DN (mm)</t>
  </si>
  <si>
    <t>Class (ANSI ASME)
/
PN (Bar)</t>
  </si>
  <si>
    <t>Tag number</t>
  </si>
  <si>
    <t>КШ-L</t>
  </si>
  <si>
    <t>-60...150</t>
  </si>
  <si>
    <t>сейсмостойкость до 9 баллов по MSK-64</t>
  </si>
  <si>
    <t>КШ-L.F.Р.ФЛ.3.5.УХЛ1.МП.А</t>
  </si>
  <si>
    <t>Корпус ASTM A350 LF2</t>
  </si>
  <si>
    <t>Шар ASTM A350 LF2+ENP</t>
  </si>
  <si>
    <t>10 кг</t>
  </si>
  <si>
    <t>01.</t>
  </si>
  <si>
    <t>Ex h IIA Т3 Gb X, Ex h IIIC 150°С Db X</t>
  </si>
  <si>
    <t>-</t>
  </si>
  <si>
    <t>КШ-L.F.Р.П.3.5.ХЛ1.МП.А</t>
  </si>
  <si>
    <t>1,84 кг</t>
  </si>
  <si>
    <t>Ex h IIA Т4 Gb X, Ex h IIIC 120°С Db X</t>
  </si>
  <si>
    <t>14,5 кг</t>
  </si>
  <si>
    <t>-46...120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</si>
</sst>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22"/>
      <color rgb="FFFF0000"/>
      <name val="Calibri"/>
      <family val="2"/>
      <scheme val="minor"/>
    </font>
    <font>
      <sz val="14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right" vertical="center" wrapText="1"/>
    </xf>
    <xf numFmtId="49" fontId="0" fillId="0" borderId="0" xfId="0" applyNumberFormat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2" borderId="5" xfId="0" applyFill="1" applyBorder="1" applyAlignment="1">
      <alignment horizontal="right" vertical="center" wrapText="1"/>
    </xf>
    <xf numFmtId="0" fontId="0" fillId="2" borderId="6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left" vertical="center" wrapText="1"/>
    </xf>
    <xf numFmtId="0" fontId="0" fillId="2" borderId="5" xfId="0" applyFill="1" applyBorder="1" applyAlignment="1">
      <alignment horizontal="center" vertical="center" wrapText="1"/>
    </xf>
    <xf numFmtId="49" fontId="0" fillId="2" borderId="5" xfId="0" applyNumberFormat="1" applyFill="1" applyBorder="1" applyAlignment="1">
      <alignment horizontal="center" vertical="center" wrapText="1"/>
    </xf>
    <xf numFmtId="49" fontId="0" fillId="2" borderId="6" xfId="0" applyNumberFormat="1" applyFill="1" applyBorder="1" applyAlignment="1">
      <alignment horizontal="left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0" fillId="2" borderId="0" xfId="0" applyFill="1" applyBorder="1" applyAlignment="1">
      <alignment horizontal="left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49" fontId="0" fillId="2" borderId="0" xfId="0" applyNumberFormat="1" applyFill="1" applyBorder="1" applyAlignment="1">
      <alignment horizontal="center" vertical="center" wrapText="1"/>
    </xf>
    <xf numFmtId="49" fontId="0" fillId="2" borderId="16" xfId="0" applyNumberFormat="1" applyFill="1" applyBorder="1" applyAlignment="1">
      <alignment horizontal="left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2" borderId="5" xfId="0" applyNumberFormat="1" applyFill="1" applyBorder="1" applyAlignment="1">
      <alignment horizontal="left" vertical="center" wrapText="1"/>
    </xf>
    <xf numFmtId="164" fontId="0" fillId="2" borderId="0" xfId="0" applyNumberFormat="1" applyFill="1" applyBorder="1" applyAlignment="1">
      <alignment horizontal="left" vertical="center" wrapText="1"/>
    </xf>
    <xf numFmtId="164" fontId="0" fillId="0" borderId="0" xfId="0" applyNumberFormat="1" applyAlignment="1">
      <alignment horizontal="center" vertical="center" wrapText="1"/>
    </xf>
    <xf numFmtId="49" fontId="0" fillId="4" borderId="0" xfId="0" applyNumberFormat="1" applyFill="1" applyBorder="1" applyAlignment="1">
      <alignment horizontal="center" vertical="center"/>
    </xf>
    <xf numFmtId="49" fontId="0" fillId="4" borderId="16" xfId="0" applyNumberForma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49" fontId="0" fillId="0" borderId="1" xfId="0" applyNumberForma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49" fontId="0" fillId="0" borderId="1" xfId="0" applyNumberFormat="1" applyFill="1" applyBorder="1" applyAlignment="1">
      <alignment vertical="center"/>
    </xf>
    <xf numFmtId="49" fontId="0" fillId="0" borderId="1" xfId="0" applyNumberForma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0" fontId="0" fillId="0" borderId="1" xfId="0" applyFill="1" applyBorder="1"/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164" fontId="0" fillId="5" borderId="1" xfId="0" applyNumberFormat="1" applyFill="1" applyBorder="1" applyAlignment="1">
      <alignment horizontal="center" vertical="center" wrapText="1"/>
    </xf>
    <xf numFmtId="0" fontId="0" fillId="5" borderId="1" xfId="0" applyNumberFormat="1" applyFill="1" applyBorder="1" applyAlignment="1">
      <alignment horizontal="center" vertical="center" wrapText="1"/>
    </xf>
    <xf numFmtId="49" fontId="0" fillId="5" borderId="1" xfId="0" applyNumberForma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49" fontId="0" fillId="6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164" fontId="0" fillId="6" borderId="1" xfId="0" applyNumberFormat="1" applyFill="1" applyBorder="1" applyAlignment="1">
      <alignment horizontal="center" vertical="center" wrapText="1"/>
    </xf>
    <xf numFmtId="0" fontId="0" fillId="6" borderId="1" xfId="0" applyNumberFormat="1" applyFill="1" applyBorder="1" applyAlignment="1">
      <alignment horizontal="center" vertical="center" wrapText="1"/>
    </xf>
    <xf numFmtId="49" fontId="0" fillId="6" borderId="1" xfId="0" applyNumberForma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27214</xdr:colOff>
      <xdr:row>0</xdr:row>
      <xdr:rowOff>571500</xdr:rowOff>
    </xdr:from>
    <xdr:to>
      <xdr:col>50</xdr:col>
      <xdr:colOff>406853</xdr:colOff>
      <xdr:row>4</xdr:row>
      <xdr:rowOff>182336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48571" y="571500"/>
          <a:ext cx="11401425" cy="1801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6"/>
  <sheetViews>
    <sheetView zoomScale="70" zoomScaleNormal="70" workbookViewId="0">
      <selection activeCell="AE3" sqref="AE3:AE26"/>
    </sheetView>
  </sheetViews>
  <sheetFormatPr defaultRowHeight="15" x14ac:dyDescent="0.25"/>
  <cols>
    <col min="1" max="1" width="9.140625" style="26"/>
    <col min="2" max="3" width="9.140625" style="5"/>
    <col min="4" max="4" width="18.42578125" style="1" customWidth="1"/>
    <col min="5" max="5" width="4.85546875" style="1" customWidth="1"/>
    <col min="6" max="6" width="4.7109375" style="1" customWidth="1"/>
    <col min="7" max="7" width="4.28515625" style="1" customWidth="1"/>
    <col min="8" max="8" width="5.85546875" style="1" customWidth="1"/>
    <col min="9" max="9" width="27.85546875" style="1" customWidth="1"/>
    <col min="10" max="10" width="24.85546875" style="1" customWidth="1"/>
    <col min="11" max="11" width="25.140625" style="1" customWidth="1"/>
    <col min="12" max="12" width="12.85546875" style="1" customWidth="1"/>
    <col min="13" max="13" width="4.85546875" style="4" customWidth="1"/>
    <col min="14" max="14" width="11.140625" style="3" customWidth="1"/>
    <col min="15" max="15" width="9.140625" style="1"/>
    <col min="16" max="16" width="4.7109375" style="30" customWidth="1"/>
    <col min="17" max="17" width="7.5703125" style="1" customWidth="1"/>
    <col min="18" max="18" width="6.85546875" style="1" customWidth="1"/>
    <col min="19" max="19" width="2" style="1" customWidth="1"/>
    <col min="20" max="20" width="4.85546875" style="2" customWidth="1"/>
    <col min="21" max="21" width="1.42578125" style="3" customWidth="1"/>
    <col min="22" max="22" width="7.5703125" style="1" customWidth="1"/>
    <col min="23" max="23" width="1.7109375" style="1" customWidth="1"/>
    <col min="24" max="24" width="7.28515625" style="1" customWidth="1"/>
    <col min="25" max="25" width="1.85546875" style="1" customWidth="1"/>
    <col min="26" max="26" width="4.140625" style="1" customWidth="1"/>
    <col min="27" max="27" width="1.85546875" style="1" customWidth="1"/>
    <col min="28" max="28" width="3.140625" style="1" customWidth="1"/>
    <col min="29" max="29" width="4.28515625" style="3" customWidth="1"/>
    <col min="30" max="30" width="21.28515625" style="1" customWidth="1"/>
    <col min="31" max="31" width="36.7109375" style="1" customWidth="1"/>
    <col min="32" max="32" width="59.7109375" style="1" customWidth="1"/>
  </cols>
  <sheetData>
    <row r="1" spans="1:32" ht="49.5" customHeight="1" thickBot="1" x14ac:dyDescent="0.3">
      <c r="A1" s="31" t="s">
        <v>53</v>
      </c>
      <c r="B1" s="31"/>
      <c r="C1" s="32"/>
      <c r="D1" s="43">
        <v>1</v>
      </c>
      <c r="E1" s="44"/>
      <c r="F1" s="44"/>
      <c r="G1" s="44"/>
      <c r="H1" s="44"/>
      <c r="I1" s="45"/>
      <c r="J1" s="43">
        <v>2</v>
      </c>
      <c r="K1" s="44"/>
      <c r="L1" s="44"/>
      <c r="M1" s="44"/>
      <c r="N1" s="44"/>
      <c r="O1" s="36">
        <v>3</v>
      </c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37"/>
      <c r="AD1" s="36">
        <v>4</v>
      </c>
      <c r="AE1" s="37"/>
    </row>
    <row r="2" spans="1:32" ht="90.75" thickBot="1" x14ac:dyDescent="0.3">
      <c r="A2" s="27" t="s">
        <v>54</v>
      </c>
      <c r="B2" s="6" t="s">
        <v>16</v>
      </c>
      <c r="C2" s="6" t="s">
        <v>17</v>
      </c>
      <c r="D2" s="7" t="s">
        <v>1</v>
      </c>
      <c r="E2" s="46" t="s">
        <v>3</v>
      </c>
      <c r="F2" s="46"/>
      <c r="G2" s="46" t="s">
        <v>4</v>
      </c>
      <c r="H2" s="46"/>
      <c r="I2" s="18" t="s">
        <v>5</v>
      </c>
      <c r="J2" s="18" t="s">
        <v>6</v>
      </c>
      <c r="K2" s="18" t="s">
        <v>7</v>
      </c>
      <c r="L2" s="18" t="s">
        <v>12</v>
      </c>
      <c r="M2" s="41" t="s">
        <v>9</v>
      </c>
      <c r="N2" s="42"/>
      <c r="O2" s="38" t="s">
        <v>10</v>
      </c>
      <c r="P2" s="39"/>
      <c r="Q2" s="40"/>
      <c r="R2" s="38" t="s">
        <v>8</v>
      </c>
      <c r="S2" s="39"/>
      <c r="T2" s="39"/>
      <c r="U2" s="39"/>
      <c r="V2" s="39"/>
      <c r="W2" s="39"/>
      <c r="X2" s="39"/>
      <c r="Y2" s="39"/>
      <c r="Z2" s="39"/>
      <c r="AA2" s="39"/>
      <c r="AB2" s="39"/>
      <c r="AC2" s="40"/>
      <c r="AD2" s="25" t="s">
        <v>46</v>
      </c>
      <c r="AE2" s="8" t="s">
        <v>47</v>
      </c>
      <c r="AF2" s="17" t="s">
        <v>48</v>
      </c>
    </row>
    <row r="3" spans="1:32" ht="15.75" thickBot="1" x14ac:dyDescent="0.3">
      <c r="A3" s="27">
        <v>54</v>
      </c>
      <c r="B3" s="19" t="s">
        <v>18</v>
      </c>
      <c r="C3" s="19" t="s">
        <v>20</v>
      </c>
      <c r="D3" s="13" t="s">
        <v>0</v>
      </c>
      <c r="E3" s="13" t="s">
        <v>2</v>
      </c>
      <c r="F3" s="13">
        <v>15</v>
      </c>
      <c r="G3" s="13" t="s">
        <v>51</v>
      </c>
      <c r="H3" s="13">
        <v>250</v>
      </c>
      <c r="I3" s="16" t="s">
        <v>11</v>
      </c>
      <c r="J3" s="11" t="s">
        <v>49</v>
      </c>
      <c r="K3" s="13" t="s">
        <v>50</v>
      </c>
      <c r="L3" s="13" t="s">
        <v>52</v>
      </c>
      <c r="M3" s="9" t="s">
        <v>15</v>
      </c>
      <c r="N3" s="10">
        <v>2024</v>
      </c>
      <c r="O3" s="11" t="s">
        <v>13</v>
      </c>
      <c r="P3" s="28">
        <f>H3/10</f>
        <v>25</v>
      </c>
      <c r="Q3" s="12" t="s">
        <v>14</v>
      </c>
      <c r="R3" s="13" t="s">
        <v>44</v>
      </c>
      <c r="S3" s="13" t="s">
        <v>19</v>
      </c>
      <c r="T3" s="13">
        <f>F3</f>
        <v>15</v>
      </c>
      <c r="U3" s="12" t="s">
        <v>19</v>
      </c>
      <c r="V3" s="13">
        <f>H3</f>
        <v>250</v>
      </c>
      <c r="W3" s="13" t="s">
        <v>19</v>
      </c>
      <c r="X3" s="13">
        <f>N3</f>
        <v>2024</v>
      </c>
      <c r="Y3" s="13" t="s">
        <v>19</v>
      </c>
      <c r="Z3" s="13">
        <f>A3</f>
        <v>54</v>
      </c>
      <c r="AA3" s="13" t="s">
        <v>19</v>
      </c>
      <c r="AB3" s="14" t="str">
        <f>B3</f>
        <v>01</v>
      </c>
      <c r="AC3" s="15" t="str">
        <f>C3</f>
        <v>001</v>
      </c>
      <c r="AD3" s="11" t="s">
        <v>45</v>
      </c>
      <c r="AE3" s="13" t="s">
        <v>56</v>
      </c>
      <c r="AF3" s="33" t="s">
        <v>55</v>
      </c>
    </row>
    <row r="4" spans="1:32" ht="15.75" thickBot="1" x14ac:dyDescent="0.3">
      <c r="A4" s="27">
        <v>54</v>
      </c>
      <c r="B4" s="19" t="s">
        <v>18</v>
      </c>
      <c r="C4" s="19" t="s">
        <v>21</v>
      </c>
      <c r="D4" s="13" t="s">
        <v>0</v>
      </c>
      <c r="E4" s="13" t="s">
        <v>2</v>
      </c>
      <c r="F4" s="13">
        <v>15</v>
      </c>
      <c r="G4" s="13" t="s">
        <v>51</v>
      </c>
      <c r="H4" s="13">
        <v>250</v>
      </c>
      <c r="I4" s="16" t="s">
        <v>11</v>
      </c>
      <c r="J4" s="11" t="s">
        <v>49</v>
      </c>
      <c r="K4" s="13" t="s">
        <v>50</v>
      </c>
      <c r="L4" s="13" t="s">
        <v>52</v>
      </c>
      <c r="M4" s="9" t="s">
        <v>15</v>
      </c>
      <c r="N4" s="10">
        <v>2024</v>
      </c>
      <c r="O4" s="11" t="s">
        <v>13</v>
      </c>
      <c r="P4" s="28">
        <f>H4/10</f>
        <v>25</v>
      </c>
      <c r="Q4" s="12" t="s">
        <v>14</v>
      </c>
      <c r="R4" s="13" t="s">
        <v>44</v>
      </c>
      <c r="S4" s="13" t="s">
        <v>19</v>
      </c>
      <c r="T4" s="13">
        <f t="shared" ref="T4:T26" si="0">F4</f>
        <v>15</v>
      </c>
      <c r="U4" s="12" t="s">
        <v>19</v>
      </c>
      <c r="V4" s="13">
        <f t="shared" ref="V4:V26" si="1">H4</f>
        <v>250</v>
      </c>
      <c r="W4" s="13" t="s">
        <v>19</v>
      </c>
      <c r="X4" s="13">
        <f t="shared" ref="X4:X26" si="2">N4</f>
        <v>2024</v>
      </c>
      <c r="Y4" s="13" t="s">
        <v>19</v>
      </c>
      <c r="Z4" s="13">
        <f t="shared" ref="Z4:Z23" si="3">A4</f>
        <v>54</v>
      </c>
      <c r="AA4" s="13" t="s">
        <v>19</v>
      </c>
      <c r="AB4" s="14" t="str">
        <f t="shared" ref="AB4:AB26" si="4">B4</f>
        <v>01</v>
      </c>
      <c r="AC4" s="15" t="str">
        <f t="shared" ref="AC4:AC26" si="5">C4</f>
        <v>002</v>
      </c>
      <c r="AD4" s="11" t="s">
        <v>45</v>
      </c>
      <c r="AE4" s="13" t="s">
        <v>56</v>
      </c>
      <c r="AF4" s="34"/>
    </row>
    <row r="5" spans="1:32" ht="15.75" thickBot="1" x14ac:dyDescent="0.3">
      <c r="A5" s="27">
        <v>54</v>
      </c>
      <c r="B5" s="19" t="s">
        <v>18</v>
      </c>
      <c r="C5" s="19" t="s">
        <v>22</v>
      </c>
      <c r="D5" s="13" t="s">
        <v>0</v>
      </c>
      <c r="E5" s="13" t="s">
        <v>2</v>
      </c>
      <c r="F5" s="13">
        <v>15</v>
      </c>
      <c r="G5" s="13" t="s">
        <v>51</v>
      </c>
      <c r="H5" s="13">
        <v>250</v>
      </c>
      <c r="I5" s="16" t="s">
        <v>11</v>
      </c>
      <c r="J5" s="11" t="s">
        <v>49</v>
      </c>
      <c r="K5" s="13" t="s">
        <v>50</v>
      </c>
      <c r="L5" s="13" t="s">
        <v>52</v>
      </c>
      <c r="M5" s="9" t="s">
        <v>15</v>
      </c>
      <c r="N5" s="10">
        <v>2024</v>
      </c>
      <c r="O5" s="11" t="s">
        <v>13</v>
      </c>
      <c r="P5" s="28">
        <f t="shared" ref="P5:P26" si="6">H5/10</f>
        <v>25</v>
      </c>
      <c r="Q5" s="12" t="s">
        <v>14</v>
      </c>
      <c r="R5" s="13" t="s">
        <v>44</v>
      </c>
      <c r="S5" s="13" t="s">
        <v>19</v>
      </c>
      <c r="T5" s="13">
        <f t="shared" si="0"/>
        <v>15</v>
      </c>
      <c r="U5" s="12" t="s">
        <v>19</v>
      </c>
      <c r="V5" s="13">
        <f t="shared" si="1"/>
        <v>250</v>
      </c>
      <c r="W5" s="13" t="s">
        <v>19</v>
      </c>
      <c r="X5" s="13">
        <f t="shared" si="2"/>
        <v>2024</v>
      </c>
      <c r="Y5" s="13" t="s">
        <v>19</v>
      </c>
      <c r="Z5" s="13">
        <f t="shared" si="3"/>
        <v>54</v>
      </c>
      <c r="AA5" s="13" t="s">
        <v>19</v>
      </c>
      <c r="AB5" s="14" t="str">
        <f t="shared" si="4"/>
        <v>01</v>
      </c>
      <c r="AC5" s="15" t="str">
        <f t="shared" si="5"/>
        <v>003</v>
      </c>
      <c r="AD5" s="11" t="s">
        <v>45</v>
      </c>
      <c r="AE5" s="13" t="s">
        <v>56</v>
      </c>
      <c r="AF5" s="34"/>
    </row>
    <row r="6" spans="1:32" ht="15.75" thickBot="1" x14ac:dyDescent="0.3">
      <c r="A6" s="27">
        <v>54</v>
      </c>
      <c r="B6" s="19" t="s">
        <v>18</v>
      </c>
      <c r="C6" s="19" t="s">
        <v>23</v>
      </c>
      <c r="D6" s="13" t="s">
        <v>0</v>
      </c>
      <c r="E6" s="13" t="s">
        <v>2</v>
      </c>
      <c r="F6" s="13">
        <v>15</v>
      </c>
      <c r="G6" s="13" t="s">
        <v>51</v>
      </c>
      <c r="H6" s="13">
        <v>250</v>
      </c>
      <c r="I6" s="16" t="s">
        <v>11</v>
      </c>
      <c r="J6" s="11" t="s">
        <v>49</v>
      </c>
      <c r="K6" s="13" t="s">
        <v>50</v>
      </c>
      <c r="L6" s="13" t="s">
        <v>52</v>
      </c>
      <c r="M6" s="9" t="s">
        <v>15</v>
      </c>
      <c r="N6" s="10">
        <v>2024</v>
      </c>
      <c r="O6" s="11" t="s">
        <v>13</v>
      </c>
      <c r="P6" s="28">
        <f t="shared" si="6"/>
        <v>25</v>
      </c>
      <c r="Q6" s="12" t="s">
        <v>14</v>
      </c>
      <c r="R6" s="13" t="s">
        <v>44</v>
      </c>
      <c r="S6" s="13" t="s">
        <v>19</v>
      </c>
      <c r="T6" s="13">
        <f t="shared" si="0"/>
        <v>15</v>
      </c>
      <c r="U6" s="12" t="s">
        <v>19</v>
      </c>
      <c r="V6" s="13">
        <f t="shared" si="1"/>
        <v>250</v>
      </c>
      <c r="W6" s="13" t="s">
        <v>19</v>
      </c>
      <c r="X6" s="13">
        <f t="shared" si="2"/>
        <v>2024</v>
      </c>
      <c r="Y6" s="13" t="s">
        <v>19</v>
      </c>
      <c r="Z6" s="13">
        <f t="shared" si="3"/>
        <v>54</v>
      </c>
      <c r="AA6" s="13" t="s">
        <v>19</v>
      </c>
      <c r="AB6" s="14" t="str">
        <f t="shared" si="4"/>
        <v>01</v>
      </c>
      <c r="AC6" s="15" t="str">
        <f t="shared" si="5"/>
        <v>004</v>
      </c>
      <c r="AD6" s="11" t="s">
        <v>45</v>
      </c>
      <c r="AE6" s="13" t="s">
        <v>56</v>
      </c>
      <c r="AF6" s="34"/>
    </row>
    <row r="7" spans="1:32" ht="15.75" thickBot="1" x14ac:dyDescent="0.3">
      <c r="A7" s="27">
        <v>54</v>
      </c>
      <c r="B7" s="19" t="s">
        <v>18</v>
      </c>
      <c r="C7" s="19" t="s">
        <v>24</v>
      </c>
      <c r="D7" s="13" t="s">
        <v>0</v>
      </c>
      <c r="E7" s="13" t="s">
        <v>2</v>
      </c>
      <c r="F7" s="13">
        <v>15</v>
      </c>
      <c r="G7" s="13" t="s">
        <v>51</v>
      </c>
      <c r="H7" s="13">
        <v>250</v>
      </c>
      <c r="I7" s="16" t="s">
        <v>11</v>
      </c>
      <c r="J7" s="11" t="s">
        <v>49</v>
      </c>
      <c r="K7" s="13" t="s">
        <v>50</v>
      </c>
      <c r="L7" s="13" t="s">
        <v>52</v>
      </c>
      <c r="M7" s="9" t="s">
        <v>15</v>
      </c>
      <c r="N7" s="10">
        <v>2024</v>
      </c>
      <c r="O7" s="11" t="s">
        <v>13</v>
      </c>
      <c r="P7" s="28">
        <f t="shared" si="6"/>
        <v>25</v>
      </c>
      <c r="Q7" s="12" t="s">
        <v>14</v>
      </c>
      <c r="R7" s="13" t="s">
        <v>44</v>
      </c>
      <c r="S7" s="13" t="s">
        <v>19</v>
      </c>
      <c r="T7" s="13">
        <f t="shared" si="0"/>
        <v>15</v>
      </c>
      <c r="U7" s="12" t="s">
        <v>19</v>
      </c>
      <c r="V7" s="13">
        <f t="shared" si="1"/>
        <v>250</v>
      </c>
      <c r="W7" s="13" t="s">
        <v>19</v>
      </c>
      <c r="X7" s="13">
        <f t="shared" si="2"/>
        <v>2024</v>
      </c>
      <c r="Y7" s="13" t="s">
        <v>19</v>
      </c>
      <c r="Z7" s="13">
        <f t="shared" si="3"/>
        <v>54</v>
      </c>
      <c r="AA7" s="13" t="s">
        <v>19</v>
      </c>
      <c r="AB7" s="14" t="str">
        <f t="shared" si="4"/>
        <v>01</v>
      </c>
      <c r="AC7" s="15" t="str">
        <f t="shared" si="5"/>
        <v>005</v>
      </c>
      <c r="AD7" s="11" t="s">
        <v>45</v>
      </c>
      <c r="AE7" s="13" t="s">
        <v>56</v>
      </c>
      <c r="AF7" s="34"/>
    </row>
    <row r="8" spans="1:32" ht="15.75" thickBot="1" x14ac:dyDescent="0.3">
      <c r="A8" s="27">
        <v>54</v>
      </c>
      <c r="B8" s="19" t="s">
        <v>18</v>
      </c>
      <c r="C8" s="19" t="s">
        <v>25</v>
      </c>
      <c r="D8" s="13" t="s">
        <v>0</v>
      </c>
      <c r="E8" s="13" t="s">
        <v>2</v>
      </c>
      <c r="F8" s="13">
        <v>15</v>
      </c>
      <c r="G8" s="13" t="s">
        <v>51</v>
      </c>
      <c r="H8" s="13">
        <v>250</v>
      </c>
      <c r="I8" s="16" t="s">
        <v>11</v>
      </c>
      <c r="J8" s="11" t="s">
        <v>49</v>
      </c>
      <c r="K8" s="13" t="s">
        <v>50</v>
      </c>
      <c r="L8" s="13" t="s">
        <v>52</v>
      </c>
      <c r="M8" s="9" t="s">
        <v>15</v>
      </c>
      <c r="N8" s="10">
        <v>2024</v>
      </c>
      <c r="O8" s="11" t="s">
        <v>13</v>
      </c>
      <c r="P8" s="28">
        <f t="shared" si="6"/>
        <v>25</v>
      </c>
      <c r="Q8" s="12" t="s">
        <v>14</v>
      </c>
      <c r="R8" s="13" t="s">
        <v>44</v>
      </c>
      <c r="S8" s="13" t="s">
        <v>19</v>
      </c>
      <c r="T8" s="13">
        <f t="shared" si="0"/>
        <v>15</v>
      </c>
      <c r="U8" s="12" t="s">
        <v>19</v>
      </c>
      <c r="V8" s="13">
        <f t="shared" si="1"/>
        <v>250</v>
      </c>
      <c r="W8" s="13" t="s">
        <v>19</v>
      </c>
      <c r="X8" s="13">
        <f t="shared" si="2"/>
        <v>2024</v>
      </c>
      <c r="Y8" s="13" t="s">
        <v>19</v>
      </c>
      <c r="Z8" s="13">
        <f t="shared" si="3"/>
        <v>54</v>
      </c>
      <c r="AA8" s="13" t="s">
        <v>19</v>
      </c>
      <c r="AB8" s="14" t="str">
        <f t="shared" si="4"/>
        <v>01</v>
      </c>
      <c r="AC8" s="15" t="str">
        <f t="shared" si="5"/>
        <v>006</v>
      </c>
      <c r="AD8" s="11" t="s">
        <v>45</v>
      </c>
      <c r="AE8" s="13" t="s">
        <v>56</v>
      </c>
      <c r="AF8" s="34"/>
    </row>
    <row r="9" spans="1:32" ht="15.75" thickBot="1" x14ac:dyDescent="0.3">
      <c r="A9" s="27">
        <v>54</v>
      </c>
      <c r="B9" s="19" t="s">
        <v>18</v>
      </c>
      <c r="C9" s="19" t="s">
        <v>26</v>
      </c>
      <c r="D9" s="13" t="s">
        <v>0</v>
      </c>
      <c r="E9" s="13" t="s">
        <v>2</v>
      </c>
      <c r="F9" s="13">
        <v>15</v>
      </c>
      <c r="G9" s="13" t="s">
        <v>51</v>
      </c>
      <c r="H9" s="13">
        <v>250</v>
      </c>
      <c r="I9" s="16" t="s">
        <v>11</v>
      </c>
      <c r="J9" s="11" t="s">
        <v>49</v>
      </c>
      <c r="K9" s="13" t="s">
        <v>50</v>
      </c>
      <c r="L9" s="13" t="s">
        <v>52</v>
      </c>
      <c r="M9" s="9" t="s">
        <v>15</v>
      </c>
      <c r="N9" s="10">
        <v>2024</v>
      </c>
      <c r="O9" s="11" t="s">
        <v>13</v>
      </c>
      <c r="P9" s="28">
        <f t="shared" si="6"/>
        <v>25</v>
      </c>
      <c r="Q9" s="12" t="s">
        <v>14</v>
      </c>
      <c r="R9" s="13" t="s">
        <v>44</v>
      </c>
      <c r="S9" s="13" t="s">
        <v>19</v>
      </c>
      <c r="T9" s="13">
        <f t="shared" si="0"/>
        <v>15</v>
      </c>
      <c r="U9" s="12" t="s">
        <v>19</v>
      </c>
      <c r="V9" s="13">
        <f t="shared" si="1"/>
        <v>250</v>
      </c>
      <c r="W9" s="13" t="s">
        <v>19</v>
      </c>
      <c r="X9" s="13">
        <f t="shared" si="2"/>
        <v>2024</v>
      </c>
      <c r="Y9" s="13" t="s">
        <v>19</v>
      </c>
      <c r="Z9" s="13">
        <f t="shared" si="3"/>
        <v>54</v>
      </c>
      <c r="AA9" s="13" t="s">
        <v>19</v>
      </c>
      <c r="AB9" s="14" t="str">
        <f t="shared" si="4"/>
        <v>01</v>
      </c>
      <c r="AC9" s="15" t="str">
        <f t="shared" si="5"/>
        <v>007</v>
      </c>
      <c r="AD9" s="11" t="s">
        <v>45</v>
      </c>
      <c r="AE9" s="13" t="s">
        <v>56</v>
      </c>
      <c r="AF9" s="34"/>
    </row>
    <row r="10" spans="1:32" ht="15.75" thickBot="1" x14ac:dyDescent="0.3">
      <c r="A10" s="27">
        <v>54</v>
      </c>
      <c r="B10" s="19" t="s">
        <v>18</v>
      </c>
      <c r="C10" s="19" t="s">
        <v>27</v>
      </c>
      <c r="D10" s="13" t="s">
        <v>0</v>
      </c>
      <c r="E10" s="13" t="s">
        <v>2</v>
      </c>
      <c r="F10" s="13">
        <v>15</v>
      </c>
      <c r="G10" s="13" t="s">
        <v>51</v>
      </c>
      <c r="H10" s="13">
        <v>250</v>
      </c>
      <c r="I10" s="16" t="s">
        <v>11</v>
      </c>
      <c r="J10" s="11" t="s">
        <v>49</v>
      </c>
      <c r="K10" s="13" t="s">
        <v>50</v>
      </c>
      <c r="L10" s="13" t="s">
        <v>52</v>
      </c>
      <c r="M10" s="9" t="s">
        <v>15</v>
      </c>
      <c r="N10" s="10">
        <v>2024</v>
      </c>
      <c r="O10" s="11" t="s">
        <v>13</v>
      </c>
      <c r="P10" s="28">
        <f t="shared" si="6"/>
        <v>25</v>
      </c>
      <c r="Q10" s="12" t="s">
        <v>14</v>
      </c>
      <c r="R10" s="13" t="s">
        <v>44</v>
      </c>
      <c r="S10" s="13" t="s">
        <v>19</v>
      </c>
      <c r="T10" s="13">
        <f t="shared" si="0"/>
        <v>15</v>
      </c>
      <c r="U10" s="12" t="s">
        <v>19</v>
      </c>
      <c r="V10" s="13">
        <f t="shared" si="1"/>
        <v>250</v>
      </c>
      <c r="W10" s="13" t="s">
        <v>19</v>
      </c>
      <c r="X10" s="13">
        <f t="shared" si="2"/>
        <v>2024</v>
      </c>
      <c r="Y10" s="13" t="s">
        <v>19</v>
      </c>
      <c r="Z10" s="13">
        <f t="shared" si="3"/>
        <v>54</v>
      </c>
      <c r="AA10" s="13" t="s">
        <v>19</v>
      </c>
      <c r="AB10" s="14" t="str">
        <f t="shared" si="4"/>
        <v>01</v>
      </c>
      <c r="AC10" s="15" t="str">
        <f t="shared" si="5"/>
        <v>008</v>
      </c>
      <c r="AD10" s="11" t="s">
        <v>45</v>
      </c>
      <c r="AE10" s="13" t="s">
        <v>56</v>
      </c>
      <c r="AF10" s="34"/>
    </row>
    <row r="11" spans="1:32" ht="15.75" thickBot="1" x14ac:dyDescent="0.3">
      <c r="A11" s="27">
        <v>54</v>
      </c>
      <c r="B11" s="19" t="s">
        <v>18</v>
      </c>
      <c r="C11" s="19" t="s">
        <v>28</v>
      </c>
      <c r="D11" s="13" t="s">
        <v>0</v>
      </c>
      <c r="E11" s="13" t="s">
        <v>2</v>
      </c>
      <c r="F11" s="13">
        <v>15</v>
      </c>
      <c r="G11" s="13" t="s">
        <v>51</v>
      </c>
      <c r="H11" s="13">
        <v>250</v>
      </c>
      <c r="I11" s="16" t="s">
        <v>11</v>
      </c>
      <c r="J11" s="11" t="s">
        <v>49</v>
      </c>
      <c r="K11" s="13" t="s">
        <v>50</v>
      </c>
      <c r="L11" s="13" t="s">
        <v>52</v>
      </c>
      <c r="M11" s="9" t="s">
        <v>15</v>
      </c>
      <c r="N11" s="10">
        <v>2024</v>
      </c>
      <c r="O11" s="11" t="s">
        <v>13</v>
      </c>
      <c r="P11" s="28">
        <f t="shared" si="6"/>
        <v>25</v>
      </c>
      <c r="Q11" s="12" t="s">
        <v>14</v>
      </c>
      <c r="R11" s="13" t="s">
        <v>44</v>
      </c>
      <c r="S11" s="13" t="s">
        <v>19</v>
      </c>
      <c r="T11" s="13">
        <f t="shared" si="0"/>
        <v>15</v>
      </c>
      <c r="U11" s="12" t="s">
        <v>19</v>
      </c>
      <c r="V11" s="13">
        <f t="shared" si="1"/>
        <v>250</v>
      </c>
      <c r="W11" s="13" t="s">
        <v>19</v>
      </c>
      <c r="X11" s="13">
        <f t="shared" si="2"/>
        <v>2024</v>
      </c>
      <c r="Y11" s="13" t="s">
        <v>19</v>
      </c>
      <c r="Z11" s="13">
        <f t="shared" si="3"/>
        <v>54</v>
      </c>
      <c r="AA11" s="13" t="s">
        <v>19</v>
      </c>
      <c r="AB11" s="14" t="str">
        <f t="shared" si="4"/>
        <v>01</v>
      </c>
      <c r="AC11" s="15" t="str">
        <f t="shared" si="5"/>
        <v>009</v>
      </c>
      <c r="AD11" s="11" t="s">
        <v>45</v>
      </c>
      <c r="AE11" s="13" t="s">
        <v>56</v>
      </c>
      <c r="AF11" s="34"/>
    </row>
    <row r="12" spans="1:32" ht="15.75" thickBot="1" x14ac:dyDescent="0.3">
      <c r="A12" s="27">
        <v>54</v>
      </c>
      <c r="B12" s="19" t="s">
        <v>18</v>
      </c>
      <c r="C12" s="19" t="s">
        <v>29</v>
      </c>
      <c r="D12" s="13" t="s">
        <v>0</v>
      </c>
      <c r="E12" s="13" t="s">
        <v>2</v>
      </c>
      <c r="F12" s="13">
        <v>15</v>
      </c>
      <c r="G12" s="13" t="s">
        <v>51</v>
      </c>
      <c r="H12" s="13">
        <v>250</v>
      </c>
      <c r="I12" s="16" t="s">
        <v>11</v>
      </c>
      <c r="J12" s="11" t="s">
        <v>49</v>
      </c>
      <c r="K12" s="13" t="s">
        <v>50</v>
      </c>
      <c r="L12" s="13" t="s">
        <v>52</v>
      </c>
      <c r="M12" s="9" t="s">
        <v>15</v>
      </c>
      <c r="N12" s="10">
        <v>2024</v>
      </c>
      <c r="O12" s="11" t="s">
        <v>13</v>
      </c>
      <c r="P12" s="28">
        <f t="shared" si="6"/>
        <v>25</v>
      </c>
      <c r="Q12" s="12" t="s">
        <v>14</v>
      </c>
      <c r="R12" s="13" t="s">
        <v>44</v>
      </c>
      <c r="S12" s="13" t="s">
        <v>19</v>
      </c>
      <c r="T12" s="13">
        <f t="shared" si="0"/>
        <v>15</v>
      </c>
      <c r="U12" s="12" t="s">
        <v>19</v>
      </c>
      <c r="V12" s="13">
        <f t="shared" si="1"/>
        <v>250</v>
      </c>
      <c r="W12" s="13" t="s">
        <v>19</v>
      </c>
      <c r="X12" s="13">
        <f t="shared" si="2"/>
        <v>2024</v>
      </c>
      <c r="Y12" s="13" t="s">
        <v>19</v>
      </c>
      <c r="Z12" s="13">
        <f t="shared" si="3"/>
        <v>54</v>
      </c>
      <c r="AA12" s="13" t="s">
        <v>19</v>
      </c>
      <c r="AB12" s="14" t="str">
        <f t="shared" si="4"/>
        <v>01</v>
      </c>
      <c r="AC12" s="15" t="str">
        <f t="shared" si="5"/>
        <v>010</v>
      </c>
      <c r="AD12" s="11" t="s">
        <v>45</v>
      </c>
      <c r="AE12" s="13" t="s">
        <v>56</v>
      </c>
      <c r="AF12" s="34"/>
    </row>
    <row r="13" spans="1:32" ht="15.75" thickBot="1" x14ac:dyDescent="0.3">
      <c r="A13" s="27">
        <v>54</v>
      </c>
      <c r="B13" s="19" t="s">
        <v>18</v>
      </c>
      <c r="C13" s="19" t="s">
        <v>30</v>
      </c>
      <c r="D13" s="13" t="s">
        <v>0</v>
      </c>
      <c r="E13" s="13" t="s">
        <v>2</v>
      </c>
      <c r="F13" s="13">
        <v>15</v>
      </c>
      <c r="G13" s="13" t="s">
        <v>51</v>
      </c>
      <c r="H13" s="13">
        <v>250</v>
      </c>
      <c r="I13" s="16" t="s">
        <v>11</v>
      </c>
      <c r="J13" s="11" t="s">
        <v>49</v>
      </c>
      <c r="K13" s="13" t="s">
        <v>50</v>
      </c>
      <c r="L13" s="13" t="s">
        <v>52</v>
      </c>
      <c r="M13" s="9" t="s">
        <v>15</v>
      </c>
      <c r="N13" s="10">
        <v>2024</v>
      </c>
      <c r="O13" s="11" t="s">
        <v>13</v>
      </c>
      <c r="P13" s="28">
        <f t="shared" si="6"/>
        <v>25</v>
      </c>
      <c r="Q13" s="12" t="s">
        <v>14</v>
      </c>
      <c r="R13" s="13" t="s">
        <v>44</v>
      </c>
      <c r="S13" s="13" t="s">
        <v>19</v>
      </c>
      <c r="T13" s="13">
        <f t="shared" si="0"/>
        <v>15</v>
      </c>
      <c r="U13" s="12" t="s">
        <v>19</v>
      </c>
      <c r="V13" s="13">
        <f t="shared" si="1"/>
        <v>250</v>
      </c>
      <c r="W13" s="13" t="s">
        <v>19</v>
      </c>
      <c r="X13" s="13">
        <f t="shared" si="2"/>
        <v>2024</v>
      </c>
      <c r="Y13" s="13" t="s">
        <v>19</v>
      </c>
      <c r="Z13" s="13">
        <f t="shared" si="3"/>
        <v>54</v>
      </c>
      <c r="AA13" s="13" t="s">
        <v>19</v>
      </c>
      <c r="AB13" s="14" t="str">
        <f t="shared" si="4"/>
        <v>01</v>
      </c>
      <c r="AC13" s="15" t="str">
        <f t="shared" si="5"/>
        <v>011</v>
      </c>
      <c r="AD13" s="11" t="s">
        <v>45</v>
      </c>
      <c r="AE13" s="13" t="s">
        <v>56</v>
      </c>
      <c r="AF13" s="34"/>
    </row>
    <row r="14" spans="1:32" ht="15.75" thickBot="1" x14ac:dyDescent="0.3">
      <c r="A14" s="27">
        <v>54</v>
      </c>
      <c r="B14" s="19" t="s">
        <v>18</v>
      </c>
      <c r="C14" s="19" t="s">
        <v>31</v>
      </c>
      <c r="D14" s="13" t="s">
        <v>0</v>
      </c>
      <c r="E14" s="13" t="s">
        <v>2</v>
      </c>
      <c r="F14" s="13">
        <v>15</v>
      </c>
      <c r="G14" s="13" t="s">
        <v>51</v>
      </c>
      <c r="H14" s="13">
        <v>250</v>
      </c>
      <c r="I14" s="16" t="s">
        <v>11</v>
      </c>
      <c r="J14" s="11" t="s">
        <v>49</v>
      </c>
      <c r="K14" s="13" t="s">
        <v>50</v>
      </c>
      <c r="L14" s="13" t="s">
        <v>52</v>
      </c>
      <c r="M14" s="9" t="s">
        <v>15</v>
      </c>
      <c r="N14" s="10">
        <v>2024</v>
      </c>
      <c r="O14" s="11" t="s">
        <v>13</v>
      </c>
      <c r="P14" s="28">
        <f t="shared" si="6"/>
        <v>25</v>
      </c>
      <c r="Q14" s="12" t="s">
        <v>14</v>
      </c>
      <c r="R14" s="13" t="s">
        <v>44</v>
      </c>
      <c r="S14" s="13" t="s">
        <v>19</v>
      </c>
      <c r="T14" s="13">
        <f t="shared" si="0"/>
        <v>15</v>
      </c>
      <c r="U14" s="12" t="s">
        <v>19</v>
      </c>
      <c r="V14" s="13">
        <f t="shared" si="1"/>
        <v>250</v>
      </c>
      <c r="W14" s="13" t="s">
        <v>19</v>
      </c>
      <c r="X14" s="13">
        <f t="shared" si="2"/>
        <v>2024</v>
      </c>
      <c r="Y14" s="13" t="s">
        <v>19</v>
      </c>
      <c r="Z14" s="13">
        <f t="shared" si="3"/>
        <v>54</v>
      </c>
      <c r="AA14" s="13" t="s">
        <v>19</v>
      </c>
      <c r="AB14" s="14" t="str">
        <f t="shared" si="4"/>
        <v>01</v>
      </c>
      <c r="AC14" s="15" t="str">
        <f t="shared" si="5"/>
        <v>012</v>
      </c>
      <c r="AD14" s="11" t="s">
        <v>45</v>
      </c>
      <c r="AE14" s="13" t="s">
        <v>56</v>
      </c>
      <c r="AF14" s="34"/>
    </row>
    <row r="15" spans="1:32" ht="15.75" thickBot="1" x14ac:dyDescent="0.3">
      <c r="A15" s="27">
        <v>54</v>
      </c>
      <c r="B15" s="19" t="s">
        <v>18</v>
      </c>
      <c r="C15" s="19" t="s">
        <v>32</v>
      </c>
      <c r="D15" s="13" t="s">
        <v>0</v>
      </c>
      <c r="E15" s="13" t="s">
        <v>2</v>
      </c>
      <c r="F15" s="13">
        <v>15</v>
      </c>
      <c r="G15" s="13" t="s">
        <v>51</v>
      </c>
      <c r="H15" s="13">
        <v>250</v>
      </c>
      <c r="I15" s="16" t="s">
        <v>11</v>
      </c>
      <c r="J15" s="11" t="s">
        <v>49</v>
      </c>
      <c r="K15" s="13" t="s">
        <v>50</v>
      </c>
      <c r="L15" s="13" t="s">
        <v>52</v>
      </c>
      <c r="M15" s="9" t="s">
        <v>15</v>
      </c>
      <c r="N15" s="10">
        <v>2024</v>
      </c>
      <c r="O15" s="11" t="s">
        <v>13</v>
      </c>
      <c r="P15" s="28">
        <f t="shared" si="6"/>
        <v>25</v>
      </c>
      <c r="Q15" s="12" t="s">
        <v>14</v>
      </c>
      <c r="R15" s="13" t="s">
        <v>44</v>
      </c>
      <c r="S15" s="13" t="s">
        <v>19</v>
      </c>
      <c r="T15" s="13">
        <f t="shared" si="0"/>
        <v>15</v>
      </c>
      <c r="U15" s="12" t="s">
        <v>19</v>
      </c>
      <c r="V15" s="13">
        <f t="shared" si="1"/>
        <v>250</v>
      </c>
      <c r="W15" s="13" t="s">
        <v>19</v>
      </c>
      <c r="X15" s="13">
        <f t="shared" si="2"/>
        <v>2024</v>
      </c>
      <c r="Y15" s="13" t="s">
        <v>19</v>
      </c>
      <c r="Z15" s="13">
        <f t="shared" si="3"/>
        <v>54</v>
      </c>
      <c r="AA15" s="13" t="s">
        <v>19</v>
      </c>
      <c r="AB15" s="14" t="str">
        <f t="shared" si="4"/>
        <v>01</v>
      </c>
      <c r="AC15" s="15" t="str">
        <f t="shared" si="5"/>
        <v>013</v>
      </c>
      <c r="AD15" s="11" t="s">
        <v>45</v>
      </c>
      <c r="AE15" s="13" t="s">
        <v>56</v>
      </c>
      <c r="AF15" s="34"/>
    </row>
    <row r="16" spans="1:32" ht="15.75" thickBot="1" x14ac:dyDescent="0.3">
      <c r="A16" s="27">
        <v>54</v>
      </c>
      <c r="B16" s="19" t="s">
        <v>18</v>
      </c>
      <c r="C16" s="19" t="s">
        <v>33</v>
      </c>
      <c r="D16" s="13" t="s">
        <v>0</v>
      </c>
      <c r="E16" s="13" t="s">
        <v>2</v>
      </c>
      <c r="F16" s="13">
        <v>15</v>
      </c>
      <c r="G16" s="13" t="s">
        <v>51</v>
      </c>
      <c r="H16" s="13">
        <v>250</v>
      </c>
      <c r="I16" s="16" t="s">
        <v>11</v>
      </c>
      <c r="J16" s="11" t="s">
        <v>49</v>
      </c>
      <c r="K16" s="13" t="s">
        <v>50</v>
      </c>
      <c r="L16" s="13" t="s">
        <v>52</v>
      </c>
      <c r="M16" s="9" t="s">
        <v>15</v>
      </c>
      <c r="N16" s="10">
        <v>2024</v>
      </c>
      <c r="O16" s="11" t="s">
        <v>13</v>
      </c>
      <c r="P16" s="28">
        <f t="shared" si="6"/>
        <v>25</v>
      </c>
      <c r="Q16" s="12" t="s">
        <v>14</v>
      </c>
      <c r="R16" s="13" t="s">
        <v>44</v>
      </c>
      <c r="S16" s="13" t="s">
        <v>19</v>
      </c>
      <c r="T16" s="13">
        <f t="shared" si="0"/>
        <v>15</v>
      </c>
      <c r="U16" s="12" t="s">
        <v>19</v>
      </c>
      <c r="V16" s="13">
        <f t="shared" si="1"/>
        <v>250</v>
      </c>
      <c r="W16" s="13" t="s">
        <v>19</v>
      </c>
      <c r="X16" s="13">
        <f t="shared" si="2"/>
        <v>2024</v>
      </c>
      <c r="Y16" s="13" t="s">
        <v>19</v>
      </c>
      <c r="Z16" s="13">
        <f t="shared" si="3"/>
        <v>54</v>
      </c>
      <c r="AA16" s="13" t="s">
        <v>19</v>
      </c>
      <c r="AB16" s="14" t="str">
        <f t="shared" si="4"/>
        <v>01</v>
      </c>
      <c r="AC16" s="15" t="str">
        <f t="shared" si="5"/>
        <v>014</v>
      </c>
      <c r="AD16" s="11" t="s">
        <v>45</v>
      </c>
      <c r="AE16" s="13" t="s">
        <v>56</v>
      </c>
      <c r="AF16" s="34"/>
    </row>
    <row r="17" spans="1:32" ht="15.75" thickBot="1" x14ac:dyDescent="0.3">
      <c r="A17" s="27">
        <v>54</v>
      </c>
      <c r="B17" s="19" t="s">
        <v>18</v>
      </c>
      <c r="C17" s="19" t="s">
        <v>34</v>
      </c>
      <c r="D17" s="13" t="s">
        <v>0</v>
      </c>
      <c r="E17" s="13" t="s">
        <v>2</v>
      </c>
      <c r="F17" s="13">
        <v>15</v>
      </c>
      <c r="G17" s="13" t="s">
        <v>51</v>
      </c>
      <c r="H17" s="13">
        <v>250</v>
      </c>
      <c r="I17" s="16" t="s">
        <v>11</v>
      </c>
      <c r="J17" s="11" t="s">
        <v>49</v>
      </c>
      <c r="K17" s="13" t="s">
        <v>50</v>
      </c>
      <c r="L17" s="13" t="s">
        <v>52</v>
      </c>
      <c r="M17" s="9" t="s">
        <v>15</v>
      </c>
      <c r="N17" s="10">
        <v>2024</v>
      </c>
      <c r="O17" s="22" t="s">
        <v>13</v>
      </c>
      <c r="P17" s="29">
        <f t="shared" si="6"/>
        <v>25</v>
      </c>
      <c r="Q17" s="20" t="s">
        <v>14</v>
      </c>
      <c r="R17" s="21" t="s">
        <v>44</v>
      </c>
      <c r="S17" s="21" t="s">
        <v>19</v>
      </c>
      <c r="T17" s="21">
        <f t="shared" si="0"/>
        <v>15</v>
      </c>
      <c r="U17" s="20" t="s">
        <v>19</v>
      </c>
      <c r="V17" s="21">
        <f t="shared" si="1"/>
        <v>250</v>
      </c>
      <c r="W17" s="21" t="s">
        <v>19</v>
      </c>
      <c r="X17" s="21">
        <f t="shared" si="2"/>
        <v>2024</v>
      </c>
      <c r="Y17" s="21" t="s">
        <v>19</v>
      </c>
      <c r="Z17" s="13">
        <f t="shared" si="3"/>
        <v>54</v>
      </c>
      <c r="AA17" s="21" t="s">
        <v>19</v>
      </c>
      <c r="AB17" s="23" t="str">
        <f t="shared" si="4"/>
        <v>01</v>
      </c>
      <c r="AC17" s="24" t="str">
        <f t="shared" si="5"/>
        <v>015</v>
      </c>
      <c r="AD17" s="11" t="s">
        <v>45</v>
      </c>
      <c r="AE17" s="13" t="s">
        <v>56</v>
      </c>
      <c r="AF17" s="34"/>
    </row>
    <row r="18" spans="1:32" ht="15.75" thickBot="1" x14ac:dyDescent="0.3">
      <c r="A18" s="27">
        <v>54</v>
      </c>
      <c r="B18" s="19" t="s">
        <v>18</v>
      </c>
      <c r="C18" s="19" t="s">
        <v>35</v>
      </c>
      <c r="D18" s="13" t="s">
        <v>0</v>
      </c>
      <c r="E18" s="13" t="s">
        <v>2</v>
      </c>
      <c r="F18" s="13">
        <v>15</v>
      </c>
      <c r="G18" s="13" t="s">
        <v>51</v>
      </c>
      <c r="H18" s="13">
        <v>250</v>
      </c>
      <c r="I18" s="16" t="s">
        <v>11</v>
      </c>
      <c r="J18" s="11" t="s">
        <v>49</v>
      </c>
      <c r="K18" s="13" t="s">
        <v>50</v>
      </c>
      <c r="L18" s="13" t="s">
        <v>52</v>
      </c>
      <c r="M18" s="9" t="s">
        <v>15</v>
      </c>
      <c r="N18" s="10">
        <v>2024</v>
      </c>
      <c r="O18" s="11" t="s">
        <v>13</v>
      </c>
      <c r="P18" s="28">
        <f t="shared" si="6"/>
        <v>25</v>
      </c>
      <c r="Q18" s="12" t="s">
        <v>14</v>
      </c>
      <c r="R18" s="13" t="s">
        <v>44</v>
      </c>
      <c r="S18" s="13" t="s">
        <v>19</v>
      </c>
      <c r="T18" s="13">
        <f t="shared" si="0"/>
        <v>15</v>
      </c>
      <c r="U18" s="12" t="s">
        <v>19</v>
      </c>
      <c r="V18" s="13">
        <f t="shared" si="1"/>
        <v>250</v>
      </c>
      <c r="W18" s="13" t="s">
        <v>19</v>
      </c>
      <c r="X18" s="13">
        <f t="shared" si="2"/>
        <v>2024</v>
      </c>
      <c r="Y18" s="13" t="s">
        <v>19</v>
      </c>
      <c r="Z18" s="13">
        <f t="shared" si="3"/>
        <v>54</v>
      </c>
      <c r="AA18" s="13" t="s">
        <v>19</v>
      </c>
      <c r="AB18" s="14" t="str">
        <f t="shared" si="4"/>
        <v>01</v>
      </c>
      <c r="AC18" s="15" t="str">
        <f t="shared" si="5"/>
        <v>016</v>
      </c>
      <c r="AD18" s="11" t="s">
        <v>45</v>
      </c>
      <c r="AE18" s="13" t="s">
        <v>56</v>
      </c>
      <c r="AF18" s="34"/>
    </row>
    <row r="19" spans="1:32" ht="15.75" thickBot="1" x14ac:dyDescent="0.3">
      <c r="A19" s="27">
        <v>54</v>
      </c>
      <c r="B19" s="19" t="s">
        <v>18</v>
      </c>
      <c r="C19" s="19" t="s">
        <v>36</v>
      </c>
      <c r="D19" s="13" t="s">
        <v>0</v>
      </c>
      <c r="E19" s="13" t="s">
        <v>2</v>
      </c>
      <c r="F19" s="13">
        <v>15</v>
      </c>
      <c r="G19" s="13" t="s">
        <v>51</v>
      </c>
      <c r="H19" s="13">
        <v>250</v>
      </c>
      <c r="I19" s="16" t="s">
        <v>11</v>
      </c>
      <c r="J19" s="11" t="s">
        <v>49</v>
      </c>
      <c r="K19" s="13" t="s">
        <v>50</v>
      </c>
      <c r="L19" s="13" t="s">
        <v>52</v>
      </c>
      <c r="M19" s="9" t="s">
        <v>15</v>
      </c>
      <c r="N19" s="10">
        <v>2024</v>
      </c>
      <c r="O19" s="11" t="s">
        <v>13</v>
      </c>
      <c r="P19" s="28">
        <f t="shared" si="6"/>
        <v>25</v>
      </c>
      <c r="Q19" s="12" t="s">
        <v>14</v>
      </c>
      <c r="R19" s="13" t="s">
        <v>44</v>
      </c>
      <c r="S19" s="13" t="s">
        <v>19</v>
      </c>
      <c r="T19" s="13">
        <f t="shared" si="0"/>
        <v>15</v>
      </c>
      <c r="U19" s="12" t="s">
        <v>19</v>
      </c>
      <c r="V19" s="13">
        <f t="shared" si="1"/>
        <v>250</v>
      </c>
      <c r="W19" s="13" t="s">
        <v>19</v>
      </c>
      <c r="X19" s="13">
        <f t="shared" si="2"/>
        <v>2024</v>
      </c>
      <c r="Y19" s="13" t="s">
        <v>19</v>
      </c>
      <c r="Z19" s="13">
        <f t="shared" si="3"/>
        <v>54</v>
      </c>
      <c r="AA19" s="13" t="s">
        <v>19</v>
      </c>
      <c r="AB19" s="14" t="str">
        <f t="shared" si="4"/>
        <v>01</v>
      </c>
      <c r="AC19" s="15" t="str">
        <f t="shared" si="5"/>
        <v>017</v>
      </c>
      <c r="AD19" s="11" t="s">
        <v>45</v>
      </c>
      <c r="AE19" s="13" t="s">
        <v>56</v>
      </c>
      <c r="AF19" s="34"/>
    </row>
    <row r="20" spans="1:32" ht="15.75" thickBot="1" x14ac:dyDescent="0.3">
      <c r="A20" s="27">
        <v>54</v>
      </c>
      <c r="B20" s="19" t="s">
        <v>18</v>
      </c>
      <c r="C20" s="19" t="s">
        <v>37</v>
      </c>
      <c r="D20" s="13" t="s">
        <v>0</v>
      </c>
      <c r="E20" s="13" t="s">
        <v>2</v>
      </c>
      <c r="F20" s="13">
        <v>15</v>
      </c>
      <c r="G20" s="13" t="s">
        <v>51</v>
      </c>
      <c r="H20" s="13">
        <v>250</v>
      </c>
      <c r="I20" s="16" t="s">
        <v>11</v>
      </c>
      <c r="J20" s="11" t="s">
        <v>49</v>
      </c>
      <c r="K20" s="13" t="s">
        <v>50</v>
      </c>
      <c r="L20" s="13" t="s">
        <v>52</v>
      </c>
      <c r="M20" s="9" t="s">
        <v>15</v>
      </c>
      <c r="N20" s="10">
        <v>2024</v>
      </c>
      <c r="O20" s="22" t="s">
        <v>13</v>
      </c>
      <c r="P20" s="29">
        <f t="shared" si="6"/>
        <v>25</v>
      </c>
      <c r="Q20" s="20" t="s">
        <v>14</v>
      </c>
      <c r="R20" s="21" t="s">
        <v>44</v>
      </c>
      <c r="S20" s="21" t="s">
        <v>19</v>
      </c>
      <c r="T20" s="21">
        <f t="shared" si="0"/>
        <v>15</v>
      </c>
      <c r="U20" s="20" t="s">
        <v>19</v>
      </c>
      <c r="V20" s="21">
        <f t="shared" si="1"/>
        <v>250</v>
      </c>
      <c r="W20" s="21" t="s">
        <v>19</v>
      </c>
      <c r="X20" s="21">
        <f t="shared" si="2"/>
        <v>2024</v>
      </c>
      <c r="Y20" s="21" t="s">
        <v>19</v>
      </c>
      <c r="Z20" s="13">
        <f t="shared" si="3"/>
        <v>54</v>
      </c>
      <c r="AA20" s="21" t="s">
        <v>19</v>
      </c>
      <c r="AB20" s="23" t="str">
        <f t="shared" si="4"/>
        <v>01</v>
      </c>
      <c r="AC20" s="24" t="str">
        <f t="shared" si="5"/>
        <v>018</v>
      </c>
      <c r="AD20" s="11" t="s">
        <v>45</v>
      </c>
      <c r="AE20" s="13" t="s">
        <v>56</v>
      </c>
      <c r="AF20" s="34"/>
    </row>
    <row r="21" spans="1:32" ht="15.75" thickBot="1" x14ac:dyDescent="0.3">
      <c r="A21" s="27">
        <v>54</v>
      </c>
      <c r="B21" s="19" t="s">
        <v>18</v>
      </c>
      <c r="C21" s="19" t="s">
        <v>38</v>
      </c>
      <c r="D21" s="13" t="s">
        <v>0</v>
      </c>
      <c r="E21" s="13" t="s">
        <v>2</v>
      </c>
      <c r="F21" s="13">
        <v>15</v>
      </c>
      <c r="G21" s="13" t="s">
        <v>51</v>
      </c>
      <c r="H21" s="13">
        <v>250</v>
      </c>
      <c r="I21" s="16" t="s">
        <v>11</v>
      </c>
      <c r="J21" s="11" t="s">
        <v>49</v>
      </c>
      <c r="K21" s="13" t="s">
        <v>50</v>
      </c>
      <c r="L21" s="13" t="s">
        <v>52</v>
      </c>
      <c r="M21" s="9" t="s">
        <v>15</v>
      </c>
      <c r="N21" s="10">
        <v>2024</v>
      </c>
      <c r="O21" s="11" t="s">
        <v>13</v>
      </c>
      <c r="P21" s="28">
        <f t="shared" si="6"/>
        <v>25</v>
      </c>
      <c r="Q21" s="12" t="s">
        <v>14</v>
      </c>
      <c r="R21" s="13" t="s">
        <v>44</v>
      </c>
      <c r="S21" s="13" t="s">
        <v>19</v>
      </c>
      <c r="T21" s="13">
        <f t="shared" si="0"/>
        <v>15</v>
      </c>
      <c r="U21" s="12" t="s">
        <v>19</v>
      </c>
      <c r="V21" s="13">
        <f t="shared" si="1"/>
        <v>250</v>
      </c>
      <c r="W21" s="13" t="s">
        <v>19</v>
      </c>
      <c r="X21" s="13">
        <f t="shared" si="2"/>
        <v>2024</v>
      </c>
      <c r="Y21" s="13" t="s">
        <v>19</v>
      </c>
      <c r="Z21" s="13">
        <f t="shared" si="3"/>
        <v>54</v>
      </c>
      <c r="AA21" s="13" t="s">
        <v>19</v>
      </c>
      <c r="AB21" s="14" t="str">
        <f t="shared" si="4"/>
        <v>01</v>
      </c>
      <c r="AC21" s="15" t="str">
        <f t="shared" si="5"/>
        <v>019</v>
      </c>
      <c r="AD21" s="11" t="s">
        <v>45</v>
      </c>
      <c r="AE21" s="13" t="s">
        <v>56</v>
      </c>
      <c r="AF21" s="34"/>
    </row>
    <row r="22" spans="1:32" ht="15.75" thickBot="1" x14ac:dyDescent="0.3">
      <c r="A22" s="27">
        <v>54</v>
      </c>
      <c r="B22" s="19" t="s">
        <v>18</v>
      </c>
      <c r="C22" s="19" t="s">
        <v>39</v>
      </c>
      <c r="D22" s="13" t="s">
        <v>0</v>
      </c>
      <c r="E22" s="13" t="s">
        <v>2</v>
      </c>
      <c r="F22" s="13">
        <v>15</v>
      </c>
      <c r="G22" s="13" t="s">
        <v>51</v>
      </c>
      <c r="H22" s="13">
        <v>250</v>
      </c>
      <c r="I22" s="16" t="s">
        <v>11</v>
      </c>
      <c r="J22" s="11" t="s">
        <v>49</v>
      </c>
      <c r="K22" s="13" t="s">
        <v>50</v>
      </c>
      <c r="L22" s="13" t="s">
        <v>52</v>
      </c>
      <c r="M22" s="9" t="s">
        <v>15</v>
      </c>
      <c r="N22" s="10">
        <v>2024</v>
      </c>
      <c r="O22" s="11" t="s">
        <v>13</v>
      </c>
      <c r="P22" s="28">
        <f t="shared" si="6"/>
        <v>25</v>
      </c>
      <c r="Q22" s="12" t="s">
        <v>14</v>
      </c>
      <c r="R22" s="13" t="s">
        <v>44</v>
      </c>
      <c r="S22" s="13" t="s">
        <v>19</v>
      </c>
      <c r="T22" s="13">
        <f t="shared" si="0"/>
        <v>15</v>
      </c>
      <c r="U22" s="12" t="s">
        <v>19</v>
      </c>
      <c r="V22" s="13">
        <f t="shared" si="1"/>
        <v>250</v>
      </c>
      <c r="W22" s="13" t="s">
        <v>19</v>
      </c>
      <c r="X22" s="13">
        <f t="shared" si="2"/>
        <v>2024</v>
      </c>
      <c r="Y22" s="13" t="s">
        <v>19</v>
      </c>
      <c r="Z22" s="13">
        <f t="shared" si="3"/>
        <v>54</v>
      </c>
      <c r="AA22" s="13" t="s">
        <v>19</v>
      </c>
      <c r="AB22" s="14" t="str">
        <f t="shared" si="4"/>
        <v>01</v>
      </c>
      <c r="AC22" s="15" t="str">
        <f t="shared" si="5"/>
        <v>020</v>
      </c>
      <c r="AD22" s="11" t="s">
        <v>45</v>
      </c>
      <c r="AE22" s="13" t="s">
        <v>56</v>
      </c>
      <c r="AF22" s="34"/>
    </row>
    <row r="23" spans="1:32" ht="15.75" thickBot="1" x14ac:dyDescent="0.3">
      <c r="A23" s="27">
        <v>54</v>
      </c>
      <c r="B23" s="19" t="s">
        <v>18</v>
      </c>
      <c r="C23" s="19" t="s">
        <v>40</v>
      </c>
      <c r="D23" s="13" t="s">
        <v>0</v>
      </c>
      <c r="E23" s="13" t="s">
        <v>2</v>
      </c>
      <c r="F23" s="13">
        <v>15</v>
      </c>
      <c r="G23" s="13" t="s">
        <v>51</v>
      </c>
      <c r="H23" s="13">
        <v>250</v>
      </c>
      <c r="I23" s="16" t="s">
        <v>11</v>
      </c>
      <c r="J23" s="11" t="s">
        <v>49</v>
      </c>
      <c r="K23" s="13" t="s">
        <v>50</v>
      </c>
      <c r="L23" s="13" t="s">
        <v>52</v>
      </c>
      <c r="M23" s="9" t="s">
        <v>15</v>
      </c>
      <c r="N23" s="10">
        <v>2024</v>
      </c>
      <c r="O23" s="11" t="s">
        <v>13</v>
      </c>
      <c r="P23" s="28">
        <f t="shared" si="6"/>
        <v>25</v>
      </c>
      <c r="Q23" s="12" t="s">
        <v>14</v>
      </c>
      <c r="R23" s="13" t="s">
        <v>44</v>
      </c>
      <c r="S23" s="13" t="s">
        <v>19</v>
      </c>
      <c r="T23" s="13">
        <f t="shared" si="0"/>
        <v>15</v>
      </c>
      <c r="U23" s="12" t="s">
        <v>19</v>
      </c>
      <c r="V23" s="13">
        <f t="shared" si="1"/>
        <v>250</v>
      </c>
      <c r="W23" s="13" t="s">
        <v>19</v>
      </c>
      <c r="X23" s="13">
        <f t="shared" si="2"/>
        <v>2024</v>
      </c>
      <c r="Y23" s="13" t="s">
        <v>19</v>
      </c>
      <c r="Z23" s="13">
        <f t="shared" si="3"/>
        <v>54</v>
      </c>
      <c r="AA23" s="13" t="s">
        <v>19</v>
      </c>
      <c r="AB23" s="14" t="str">
        <f t="shared" si="4"/>
        <v>01</v>
      </c>
      <c r="AC23" s="15" t="str">
        <f t="shared" si="5"/>
        <v>021</v>
      </c>
      <c r="AD23" s="11" t="s">
        <v>45</v>
      </c>
      <c r="AE23" s="13" t="s">
        <v>56</v>
      </c>
      <c r="AF23" s="34"/>
    </row>
    <row r="24" spans="1:32" ht="15.75" thickBot="1" x14ac:dyDescent="0.3">
      <c r="A24" s="27">
        <v>54</v>
      </c>
      <c r="B24" s="19" t="s">
        <v>18</v>
      </c>
      <c r="C24" s="19" t="s">
        <v>41</v>
      </c>
      <c r="D24" s="13" t="s">
        <v>0</v>
      </c>
      <c r="E24" s="13" t="s">
        <v>2</v>
      </c>
      <c r="F24" s="13">
        <v>15</v>
      </c>
      <c r="G24" s="13" t="s">
        <v>51</v>
      </c>
      <c r="H24" s="13">
        <v>250</v>
      </c>
      <c r="I24" s="16" t="s">
        <v>11</v>
      </c>
      <c r="J24" s="11" t="s">
        <v>49</v>
      </c>
      <c r="K24" s="13" t="s">
        <v>50</v>
      </c>
      <c r="L24" s="13" t="s">
        <v>52</v>
      </c>
      <c r="M24" s="9" t="s">
        <v>15</v>
      </c>
      <c r="N24" s="10">
        <v>2024</v>
      </c>
      <c r="O24" s="11" t="s">
        <v>13</v>
      </c>
      <c r="P24" s="28">
        <f t="shared" si="6"/>
        <v>25</v>
      </c>
      <c r="Q24" s="12" t="s">
        <v>14</v>
      </c>
      <c r="R24" s="13" t="s">
        <v>44</v>
      </c>
      <c r="S24" s="13" t="s">
        <v>19</v>
      </c>
      <c r="T24" s="13">
        <f t="shared" si="0"/>
        <v>15</v>
      </c>
      <c r="U24" s="12" t="s">
        <v>19</v>
      </c>
      <c r="V24" s="13">
        <f t="shared" si="1"/>
        <v>250</v>
      </c>
      <c r="W24" s="13" t="s">
        <v>19</v>
      </c>
      <c r="X24" s="13">
        <f t="shared" si="2"/>
        <v>2024</v>
      </c>
      <c r="Y24" s="13" t="s">
        <v>19</v>
      </c>
      <c r="Z24" s="13"/>
      <c r="AA24" s="13" t="s">
        <v>19</v>
      </c>
      <c r="AB24" s="14" t="str">
        <f t="shared" si="4"/>
        <v>01</v>
      </c>
      <c r="AC24" s="15" t="str">
        <f t="shared" si="5"/>
        <v>022</v>
      </c>
      <c r="AD24" s="11" t="s">
        <v>45</v>
      </c>
      <c r="AE24" s="13" t="s">
        <v>56</v>
      </c>
      <c r="AF24" s="34"/>
    </row>
    <row r="25" spans="1:32" ht="15.75" thickBot="1" x14ac:dyDescent="0.3">
      <c r="A25" s="27">
        <v>54</v>
      </c>
      <c r="B25" s="19" t="s">
        <v>18</v>
      </c>
      <c r="C25" s="19" t="s">
        <v>42</v>
      </c>
      <c r="D25" s="13" t="s">
        <v>0</v>
      </c>
      <c r="E25" s="13" t="s">
        <v>2</v>
      </c>
      <c r="F25" s="13">
        <v>15</v>
      </c>
      <c r="G25" s="13" t="s">
        <v>51</v>
      </c>
      <c r="H25" s="13">
        <v>250</v>
      </c>
      <c r="I25" s="16" t="s">
        <v>11</v>
      </c>
      <c r="J25" s="11" t="s">
        <v>49</v>
      </c>
      <c r="K25" s="13" t="s">
        <v>50</v>
      </c>
      <c r="L25" s="13" t="s">
        <v>52</v>
      </c>
      <c r="M25" s="9" t="s">
        <v>15</v>
      </c>
      <c r="N25" s="10">
        <v>2024</v>
      </c>
      <c r="O25" s="11" t="s">
        <v>13</v>
      </c>
      <c r="P25" s="28">
        <f t="shared" si="6"/>
        <v>25</v>
      </c>
      <c r="Q25" s="12" t="s">
        <v>14</v>
      </c>
      <c r="R25" s="13" t="s">
        <v>44</v>
      </c>
      <c r="S25" s="13" t="s">
        <v>19</v>
      </c>
      <c r="T25" s="13">
        <f t="shared" si="0"/>
        <v>15</v>
      </c>
      <c r="U25" s="12" t="s">
        <v>19</v>
      </c>
      <c r="V25" s="13">
        <f t="shared" si="1"/>
        <v>250</v>
      </c>
      <c r="W25" s="13" t="s">
        <v>19</v>
      </c>
      <c r="X25" s="13">
        <f t="shared" si="2"/>
        <v>2024</v>
      </c>
      <c r="Y25" s="13" t="s">
        <v>19</v>
      </c>
      <c r="Z25" s="13"/>
      <c r="AA25" s="13" t="s">
        <v>19</v>
      </c>
      <c r="AB25" s="14" t="str">
        <f t="shared" si="4"/>
        <v>01</v>
      </c>
      <c r="AC25" s="15" t="str">
        <f t="shared" si="5"/>
        <v>023</v>
      </c>
      <c r="AD25" s="11" t="s">
        <v>45</v>
      </c>
      <c r="AE25" s="13" t="s">
        <v>56</v>
      </c>
      <c r="AF25" s="34"/>
    </row>
    <row r="26" spans="1:32" ht="15.75" thickBot="1" x14ac:dyDescent="0.3">
      <c r="A26" s="27">
        <v>54</v>
      </c>
      <c r="B26" s="19" t="s">
        <v>18</v>
      </c>
      <c r="C26" s="19" t="s">
        <v>43</v>
      </c>
      <c r="D26" s="13" t="s">
        <v>0</v>
      </c>
      <c r="E26" s="13" t="s">
        <v>2</v>
      </c>
      <c r="F26" s="13">
        <v>15</v>
      </c>
      <c r="G26" s="13" t="s">
        <v>51</v>
      </c>
      <c r="H26" s="13">
        <v>250</v>
      </c>
      <c r="I26" s="16" t="s">
        <v>11</v>
      </c>
      <c r="J26" s="11" t="s">
        <v>49</v>
      </c>
      <c r="K26" s="13" t="s">
        <v>50</v>
      </c>
      <c r="L26" s="13" t="s">
        <v>52</v>
      </c>
      <c r="M26" s="9" t="s">
        <v>15</v>
      </c>
      <c r="N26" s="10">
        <v>2024</v>
      </c>
      <c r="O26" s="11" t="s">
        <v>13</v>
      </c>
      <c r="P26" s="28">
        <f t="shared" si="6"/>
        <v>25</v>
      </c>
      <c r="Q26" s="12" t="s">
        <v>14</v>
      </c>
      <c r="R26" s="13" t="s">
        <v>44</v>
      </c>
      <c r="S26" s="13" t="s">
        <v>19</v>
      </c>
      <c r="T26" s="13">
        <f t="shared" si="0"/>
        <v>15</v>
      </c>
      <c r="U26" s="12" t="s">
        <v>19</v>
      </c>
      <c r="V26" s="13">
        <f t="shared" si="1"/>
        <v>250</v>
      </c>
      <c r="W26" s="13" t="s">
        <v>19</v>
      </c>
      <c r="X26" s="13">
        <f t="shared" si="2"/>
        <v>2024</v>
      </c>
      <c r="Y26" s="13" t="s">
        <v>19</v>
      </c>
      <c r="Z26" s="13"/>
      <c r="AA26" s="13" t="s">
        <v>19</v>
      </c>
      <c r="AB26" s="14" t="str">
        <f t="shared" si="4"/>
        <v>01</v>
      </c>
      <c r="AC26" s="15" t="str">
        <f t="shared" si="5"/>
        <v>024</v>
      </c>
      <c r="AD26" s="11" t="s">
        <v>45</v>
      </c>
      <c r="AE26" s="13" t="s">
        <v>56</v>
      </c>
      <c r="AF26" s="35"/>
    </row>
  </sheetData>
  <mergeCells count="11">
    <mergeCell ref="A1:C1"/>
    <mergeCell ref="AF3:AF26"/>
    <mergeCell ref="AD1:AE1"/>
    <mergeCell ref="O2:Q2"/>
    <mergeCell ref="M2:N2"/>
    <mergeCell ref="R2:AC2"/>
    <mergeCell ref="D1:I1"/>
    <mergeCell ref="E2:F2"/>
    <mergeCell ref="G2:H2"/>
    <mergeCell ref="J1:N1"/>
    <mergeCell ref="O1:AC1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L21"/>
  <sheetViews>
    <sheetView tabSelected="1" topLeftCell="A13" zoomScale="55" zoomScaleNormal="55" workbookViewId="0">
      <selection activeCell="I47" sqref="I47:J48"/>
    </sheetView>
  </sheetViews>
  <sheetFormatPr defaultRowHeight="15" x14ac:dyDescent="0.25"/>
  <cols>
    <col min="2" max="3" width="9.140625" style="5"/>
    <col min="4" max="4" width="26.140625" style="1" customWidth="1"/>
    <col min="5" max="5" width="4.85546875" style="1" customWidth="1"/>
    <col min="6" max="7" width="7.85546875" style="1" customWidth="1"/>
    <col min="8" max="8" width="4.42578125" style="1" bestFit="1" customWidth="1"/>
    <col min="9" max="9" width="42.7109375" style="1" customWidth="1"/>
    <col min="10" max="10" width="29.140625" style="1" customWidth="1"/>
    <col min="11" max="11" width="37.5703125" style="1" customWidth="1"/>
    <col min="12" max="12" width="12.85546875" style="1" customWidth="1"/>
    <col min="13" max="13" width="4.85546875" style="4" customWidth="1"/>
    <col min="14" max="14" width="6.42578125" style="3" customWidth="1"/>
    <col min="15" max="15" width="9.140625" style="1"/>
    <col min="16" max="16" width="5" style="30" bestFit="1" customWidth="1"/>
    <col min="17" max="17" width="7.5703125" style="1" customWidth="1"/>
    <col min="18" max="18" width="6.85546875" style="1" customWidth="1"/>
    <col min="19" max="19" width="2" style="1" customWidth="1"/>
    <col min="20" max="20" width="4.42578125" style="2" bestFit="1" customWidth="1"/>
    <col min="21" max="21" width="1.42578125" style="3" customWidth="1"/>
    <col min="22" max="22" width="6.5703125" style="1" customWidth="1"/>
    <col min="23" max="23" width="1.7109375" style="1" customWidth="1"/>
    <col min="24" max="24" width="7.28515625" style="1" customWidth="1"/>
    <col min="25" max="25" width="1.7109375" style="1" customWidth="1"/>
    <col min="26" max="26" width="6.28515625" style="1" customWidth="1"/>
    <col min="27" max="27" width="1.85546875" style="1" customWidth="1"/>
    <col min="28" max="28" width="7.42578125" style="1" customWidth="1"/>
    <col min="29" max="29" width="4.28515625" style="3" customWidth="1"/>
    <col min="30" max="30" width="9.7109375" style="3" customWidth="1"/>
    <col min="31" max="31" width="10.28515625" style="3" bestFit="1" customWidth="1"/>
    <col min="32" max="32" width="4.5703125" style="3" customWidth="1"/>
    <col min="33" max="33" width="36.7109375" style="3" customWidth="1"/>
    <col min="34" max="35" width="40.42578125" style="3" customWidth="1"/>
    <col min="36" max="36" width="21.28515625" style="1" customWidth="1"/>
    <col min="37" max="37" width="36.7109375" style="1" customWidth="1"/>
    <col min="38" max="38" width="31.5703125" customWidth="1"/>
    <col min="39" max="39" width="33.5703125" customWidth="1"/>
    <col min="40" max="40" width="33.7109375" customWidth="1"/>
  </cols>
  <sheetData>
    <row r="1" spans="1:38" ht="49.5" customHeight="1" x14ac:dyDescent="0.25">
      <c r="A1" s="50"/>
      <c r="B1" s="51" t="s">
        <v>53</v>
      </c>
      <c r="C1" s="50"/>
      <c r="D1" s="52">
        <v>1</v>
      </c>
      <c r="E1" s="52"/>
      <c r="F1" s="52"/>
      <c r="G1" s="52"/>
      <c r="H1" s="52"/>
      <c r="I1" s="52"/>
      <c r="J1" s="52">
        <v>2</v>
      </c>
      <c r="K1" s="52"/>
      <c r="L1" s="52"/>
      <c r="M1" s="52"/>
      <c r="N1" s="52"/>
      <c r="O1" s="53"/>
      <c r="P1" s="53"/>
      <c r="Q1" s="53"/>
      <c r="R1" s="53"/>
      <c r="S1" s="53"/>
      <c r="T1" s="53"/>
      <c r="U1" s="53"/>
      <c r="V1" s="53">
        <v>3</v>
      </c>
      <c r="W1" s="53"/>
      <c r="X1" s="53"/>
      <c r="Y1" s="53"/>
      <c r="Z1" s="53"/>
      <c r="AA1" s="53"/>
      <c r="AB1" s="53"/>
      <c r="AC1" s="53"/>
      <c r="AD1" s="53"/>
      <c r="AE1" s="53"/>
      <c r="AF1" s="54"/>
      <c r="AG1" s="52">
        <v>4</v>
      </c>
      <c r="AH1" s="52"/>
      <c r="AI1" s="52">
        <v>5</v>
      </c>
      <c r="AJ1" s="52"/>
      <c r="AK1" s="52"/>
      <c r="AL1" s="55"/>
    </row>
    <row r="2" spans="1:38" ht="90" x14ac:dyDescent="0.25">
      <c r="A2" s="49" t="s">
        <v>54</v>
      </c>
      <c r="B2" s="48" t="s">
        <v>16</v>
      </c>
      <c r="C2" s="48" t="s">
        <v>17</v>
      </c>
      <c r="D2" s="56" t="s">
        <v>1</v>
      </c>
      <c r="E2" s="57" t="s">
        <v>67</v>
      </c>
      <c r="F2" s="58"/>
      <c r="G2" s="57" t="s">
        <v>68</v>
      </c>
      <c r="H2" s="58"/>
      <c r="I2" s="59" t="s">
        <v>5</v>
      </c>
      <c r="J2" s="59" t="s">
        <v>6</v>
      </c>
      <c r="K2" s="59" t="s">
        <v>7</v>
      </c>
      <c r="L2" s="59" t="s">
        <v>64</v>
      </c>
      <c r="M2" s="60" t="s">
        <v>9</v>
      </c>
      <c r="N2" s="60"/>
      <c r="O2" s="60" t="s">
        <v>10</v>
      </c>
      <c r="P2" s="60"/>
      <c r="Q2" s="60"/>
      <c r="R2" s="60" t="s">
        <v>8</v>
      </c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 t="s">
        <v>57</v>
      </c>
      <c r="AE2" s="60"/>
      <c r="AF2" s="60"/>
      <c r="AG2" s="59" t="s">
        <v>60</v>
      </c>
      <c r="AH2" s="59" t="s">
        <v>61</v>
      </c>
      <c r="AI2" s="59" t="s">
        <v>62</v>
      </c>
      <c r="AJ2" s="59" t="s">
        <v>46</v>
      </c>
      <c r="AK2" s="59" t="s">
        <v>47</v>
      </c>
      <c r="AL2" s="59" t="s">
        <v>69</v>
      </c>
    </row>
    <row r="3" spans="1:38" s="26" customFormat="1" ht="39.950000000000003" customHeight="1" x14ac:dyDescent="0.25">
      <c r="A3" s="61">
        <v>192</v>
      </c>
      <c r="B3" s="62" t="s">
        <v>18</v>
      </c>
      <c r="C3" s="62" t="s">
        <v>20</v>
      </c>
      <c r="D3" s="63" t="s">
        <v>0</v>
      </c>
      <c r="E3" s="63" t="s">
        <v>2</v>
      </c>
      <c r="F3" s="63">
        <v>25</v>
      </c>
      <c r="G3" s="63" t="s">
        <v>51</v>
      </c>
      <c r="H3" s="63">
        <v>250</v>
      </c>
      <c r="I3" s="63" t="s">
        <v>73</v>
      </c>
      <c r="J3" s="63" t="s">
        <v>74</v>
      </c>
      <c r="K3" s="63" t="s">
        <v>75</v>
      </c>
      <c r="L3" s="63" t="s">
        <v>76</v>
      </c>
      <c r="M3" s="63" t="s">
        <v>77</v>
      </c>
      <c r="N3" s="63">
        <v>2026</v>
      </c>
      <c r="O3" s="63" t="s">
        <v>13</v>
      </c>
      <c r="P3" s="64">
        <f t="shared" ref="P3:P6" si="0">H3/10</f>
        <v>25</v>
      </c>
      <c r="Q3" s="63" t="s">
        <v>14</v>
      </c>
      <c r="R3" s="63" t="s">
        <v>70</v>
      </c>
      <c r="S3" s="63" t="s">
        <v>19</v>
      </c>
      <c r="T3" s="65">
        <f t="shared" ref="T3:T6" si="1">F3</f>
        <v>25</v>
      </c>
      <c r="U3" s="65" t="s">
        <v>19</v>
      </c>
      <c r="V3" s="65">
        <f t="shared" ref="V3:V6" si="2">H3</f>
        <v>250</v>
      </c>
      <c r="W3" s="63" t="s">
        <v>19</v>
      </c>
      <c r="X3" s="63">
        <f t="shared" ref="X3" si="3">N3</f>
        <v>2026</v>
      </c>
      <c r="Y3" s="63" t="s">
        <v>19</v>
      </c>
      <c r="Z3" s="63">
        <f t="shared" ref="Z3" si="4">A3</f>
        <v>192</v>
      </c>
      <c r="AA3" s="63" t="s">
        <v>19</v>
      </c>
      <c r="AB3" s="66" t="str">
        <f t="shared" ref="AB3:AC3" si="5">B3</f>
        <v>01</v>
      </c>
      <c r="AC3" s="66" t="str">
        <f t="shared" si="5"/>
        <v>001</v>
      </c>
      <c r="AD3" s="66" t="s">
        <v>58</v>
      </c>
      <c r="AE3" s="66" t="s">
        <v>71</v>
      </c>
      <c r="AF3" s="63" t="s">
        <v>59</v>
      </c>
      <c r="AG3" s="63" t="s">
        <v>78</v>
      </c>
      <c r="AH3" s="63" t="s">
        <v>72</v>
      </c>
      <c r="AI3" s="63" t="s">
        <v>63</v>
      </c>
      <c r="AJ3" s="63" t="s">
        <v>45</v>
      </c>
      <c r="AK3" s="63" t="s">
        <v>56</v>
      </c>
      <c r="AL3" s="63" t="s">
        <v>79</v>
      </c>
    </row>
    <row r="4" spans="1:38" s="26" customFormat="1" ht="39.950000000000003" customHeight="1" x14ac:dyDescent="0.25">
      <c r="A4" s="61">
        <v>192</v>
      </c>
      <c r="B4" s="62" t="s">
        <v>18</v>
      </c>
      <c r="C4" s="62" t="s">
        <v>21</v>
      </c>
      <c r="D4" s="63" t="s">
        <v>0</v>
      </c>
      <c r="E4" s="63" t="s">
        <v>2</v>
      </c>
      <c r="F4" s="63">
        <v>25</v>
      </c>
      <c r="G4" s="63" t="s">
        <v>51</v>
      </c>
      <c r="H4" s="63">
        <v>250</v>
      </c>
      <c r="I4" s="63" t="s">
        <v>73</v>
      </c>
      <c r="J4" s="63" t="s">
        <v>74</v>
      </c>
      <c r="K4" s="63" t="s">
        <v>75</v>
      </c>
      <c r="L4" s="63" t="s">
        <v>76</v>
      </c>
      <c r="M4" s="63" t="s">
        <v>77</v>
      </c>
      <c r="N4" s="63">
        <v>2026</v>
      </c>
      <c r="O4" s="63" t="s">
        <v>13</v>
      </c>
      <c r="P4" s="64">
        <f t="shared" si="0"/>
        <v>25</v>
      </c>
      <c r="Q4" s="63" t="s">
        <v>14</v>
      </c>
      <c r="R4" s="63" t="s">
        <v>70</v>
      </c>
      <c r="S4" s="63" t="s">
        <v>19</v>
      </c>
      <c r="T4" s="65">
        <f t="shared" si="1"/>
        <v>25</v>
      </c>
      <c r="U4" s="65" t="s">
        <v>19</v>
      </c>
      <c r="V4" s="65">
        <f t="shared" si="2"/>
        <v>250</v>
      </c>
      <c r="W4" s="63" t="s">
        <v>19</v>
      </c>
      <c r="X4" s="63">
        <f t="shared" ref="X4:X5" si="6">N4</f>
        <v>2026</v>
      </c>
      <c r="Y4" s="63" t="s">
        <v>19</v>
      </c>
      <c r="Z4" s="63">
        <f t="shared" ref="Z4:Z5" si="7">A4</f>
        <v>192</v>
      </c>
      <c r="AA4" s="63" t="s">
        <v>19</v>
      </c>
      <c r="AB4" s="66" t="str">
        <f t="shared" ref="AB4:AB5" si="8">B4</f>
        <v>01</v>
      </c>
      <c r="AC4" s="66" t="str">
        <f t="shared" ref="AC4:AC5" si="9">C4</f>
        <v>002</v>
      </c>
      <c r="AD4" s="66" t="s">
        <v>58</v>
      </c>
      <c r="AE4" s="66" t="s">
        <v>71</v>
      </c>
      <c r="AF4" s="63" t="s">
        <v>59</v>
      </c>
      <c r="AG4" s="63" t="s">
        <v>78</v>
      </c>
      <c r="AH4" s="63" t="s">
        <v>72</v>
      </c>
      <c r="AI4" s="63" t="s">
        <v>63</v>
      </c>
      <c r="AJ4" s="63" t="s">
        <v>45</v>
      </c>
      <c r="AK4" s="63" t="s">
        <v>56</v>
      </c>
      <c r="AL4" s="63" t="s">
        <v>79</v>
      </c>
    </row>
    <row r="5" spans="1:38" s="26" customFormat="1" ht="39.950000000000003" customHeight="1" x14ac:dyDescent="0.25">
      <c r="A5" s="61">
        <v>192</v>
      </c>
      <c r="B5" s="62" t="s">
        <v>18</v>
      </c>
      <c r="C5" s="62" t="s">
        <v>22</v>
      </c>
      <c r="D5" s="63" t="s">
        <v>0</v>
      </c>
      <c r="E5" s="63" t="s">
        <v>2</v>
      </c>
      <c r="F5" s="63">
        <v>25</v>
      </c>
      <c r="G5" s="63" t="s">
        <v>51</v>
      </c>
      <c r="H5" s="63">
        <v>250</v>
      </c>
      <c r="I5" s="63" t="s">
        <v>73</v>
      </c>
      <c r="J5" s="63" t="s">
        <v>74</v>
      </c>
      <c r="K5" s="63" t="s">
        <v>75</v>
      </c>
      <c r="L5" s="63" t="s">
        <v>76</v>
      </c>
      <c r="M5" s="63" t="s">
        <v>77</v>
      </c>
      <c r="N5" s="63">
        <v>2026</v>
      </c>
      <c r="O5" s="63" t="s">
        <v>13</v>
      </c>
      <c r="P5" s="64">
        <f t="shared" si="0"/>
        <v>25</v>
      </c>
      <c r="Q5" s="63" t="s">
        <v>14</v>
      </c>
      <c r="R5" s="63" t="s">
        <v>70</v>
      </c>
      <c r="S5" s="63" t="s">
        <v>19</v>
      </c>
      <c r="T5" s="65">
        <f t="shared" si="1"/>
        <v>25</v>
      </c>
      <c r="U5" s="65" t="s">
        <v>19</v>
      </c>
      <c r="V5" s="65">
        <f t="shared" si="2"/>
        <v>250</v>
      </c>
      <c r="W5" s="63" t="s">
        <v>19</v>
      </c>
      <c r="X5" s="63">
        <f t="shared" si="6"/>
        <v>2026</v>
      </c>
      <c r="Y5" s="63" t="s">
        <v>19</v>
      </c>
      <c r="Z5" s="63">
        <f t="shared" si="7"/>
        <v>192</v>
      </c>
      <c r="AA5" s="63" t="s">
        <v>19</v>
      </c>
      <c r="AB5" s="66" t="str">
        <f t="shared" si="8"/>
        <v>01</v>
      </c>
      <c r="AC5" s="66" t="str">
        <f t="shared" si="9"/>
        <v>003</v>
      </c>
      <c r="AD5" s="66" t="s">
        <v>58</v>
      </c>
      <c r="AE5" s="66" t="s">
        <v>71</v>
      </c>
      <c r="AF5" s="63" t="s">
        <v>59</v>
      </c>
      <c r="AG5" s="63" t="s">
        <v>78</v>
      </c>
      <c r="AH5" s="63" t="s">
        <v>72</v>
      </c>
      <c r="AI5" s="63" t="s">
        <v>63</v>
      </c>
      <c r="AJ5" s="63" t="s">
        <v>45</v>
      </c>
      <c r="AK5" s="63" t="s">
        <v>56</v>
      </c>
      <c r="AL5" s="63" t="s">
        <v>79</v>
      </c>
    </row>
    <row r="6" spans="1:38" s="26" customFormat="1" ht="39.950000000000003" customHeight="1" x14ac:dyDescent="0.25">
      <c r="A6" s="61">
        <v>192</v>
      </c>
      <c r="B6" s="62" t="s">
        <v>18</v>
      </c>
      <c r="C6" s="62" t="s">
        <v>23</v>
      </c>
      <c r="D6" s="63" t="s">
        <v>0</v>
      </c>
      <c r="E6" s="63" t="s">
        <v>2</v>
      </c>
      <c r="F6" s="63">
        <v>25</v>
      </c>
      <c r="G6" s="63" t="s">
        <v>51</v>
      </c>
      <c r="H6" s="63">
        <v>250</v>
      </c>
      <c r="I6" s="63" t="s">
        <v>73</v>
      </c>
      <c r="J6" s="63" t="s">
        <v>74</v>
      </c>
      <c r="K6" s="63" t="s">
        <v>75</v>
      </c>
      <c r="L6" s="63" t="s">
        <v>76</v>
      </c>
      <c r="M6" s="63" t="s">
        <v>77</v>
      </c>
      <c r="N6" s="63">
        <v>2026</v>
      </c>
      <c r="O6" s="63" t="s">
        <v>13</v>
      </c>
      <c r="P6" s="64">
        <f t="shared" si="0"/>
        <v>25</v>
      </c>
      <c r="Q6" s="63" t="s">
        <v>14</v>
      </c>
      <c r="R6" s="63" t="s">
        <v>70</v>
      </c>
      <c r="S6" s="63" t="s">
        <v>19</v>
      </c>
      <c r="T6" s="65">
        <f t="shared" si="1"/>
        <v>25</v>
      </c>
      <c r="U6" s="65" t="s">
        <v>19</v>
      </c>
      <c r="V6" s="65">
        <f t="shared" si="2"/>
        <v>250</v>
      </c>
      <c r="W6" s="63" t="s">
        <v>19</v>
      </c>
      <c r="X6" s="63">
        <f t="shared" ref="X6:X9" si="10">N6</f>
        <v>2026</v>
      </c>
      <c r="Y6" s="63" t="s">
        <v>19</v>
      </c>
      <c r="Z6" s="63">
        <f t="shared" ref="Z6:Z9" si="11">A6</f>
        <v>192</v>
      </c>
      <c r="AA6" s="63" t="s">
        <v>19</v>
      </c>
      <c r="AB6" s="66" t="str">
        <f t="shared" ref="AB6:AB9" si="12">B6</f>
        <v>01</v>
      </c>
      <c r="AC6" s="66" t="str">
        <f t="shared" ref="AC6:AC9" si="13">C6</f>
        <v>004</v>
      </c>
      <c r="AD6" s="66" t="s">
        <v>58</v>
      </c>
      <c r="AE6" s="66" t="s">
        <v>71</v>
      </c>
      <c r="AF6" s="63" t="s">
        <v>59</v>
      </c>
      <c r="AG6" s="63" t="s">
        <v>78</v>
      </c>
      <c r="AH6" s="63" t="s">
        <v>72</v>
      </c>
      <c r="AI6" s="63" t="s">
        <v>63</v>
      </c>
      <c r="AJ6" s="63" t="s">
        <v>45</v>
      </c>
      <c r="AK6" s="63" t="s">
        <v>56</v>
      </c>
      <c r="AL6" s="63" t="s">
        <v>79</v>
      </c>
    </row>
    <row r="7" spans="1:38" s="26" customFormat="1" ht="39.950000000000003" customHeight="1" x14ac:dyDescent="0.25">
      <c r="A7" s="61">
        <v>192</v>
      </c>
      <c r="B7" s="62" t="s">
        <v>18</v>
      </c>
      <c r="C7" s="62" t="s">
        <v>24</v>
      </c>
      <c r="D7" s="63" t="s">
        <v>0</v>
      </c>
      <c r="E7" s="63" t="s">
        <v>2</v>
      </c>
      <c r="F7" s="63">
        <v>25</v>
      </c>
      <c r="G7" s="63" t="s">
        <v>51</v>
      </c>
      <c r="H7" s="63">
        <v>250</v>
      </c>
      <c r="I7" s="63" t="s">
        <v>73</v>
      </c>
      <c r="J7" s="63" t="s">
        <v>74</v>
      </c>
      <c r="K7" s="63" t="s">
        <v>75</v>
      </c>
      <c r="L7" s="63" t="s">
        <v>76</v>
      </c>
      <c r="M7" s="63" t="s">
        <v>77</v>
      </c>
      <c r="N7" s="63">
        <v>2026</v>
      </c>
      <c r="O7" s="63" t="s">
        <v>13</v>
      </c>
      <c r="P7" s="64">
        <f t="shared" ref="P7:P13" si="14">H7/10</f>
        <v>25</v>
      </c>
      <c r="Q7" s="63" t="s">
        <v>14</v>
      </c>
      <c r="R7" s="63" t="s">
        <v>70</v>
      </c>
      <c r="S7" s="63" t="s">
        <v>19</v>
      </c>
      <c r="T7" s="65">
        <f t="shared" ref="T7:T13" si="15">F7</f>
        <v>25</v>
      </c>
      <c r="U7" s="65" t="s">
        <v>19</v>
      </c>
      <c r="V7" s="65">
        <f t="shared" ref="V7:V13" si="16">H7</f>
        <v>250</v>
      </c>
      <c r="W7" s="63" t="s">
        <v>19</v>
      </c>
      <c r="X7" s="63">
        <f t="shared" si="10"/>
        <v>2026</v>
      </c>
      <c r="Y7" s="63" t="s">
        <v>19</v>
      </c>
      <c r="Z7" s="63">
        <f t="shared" si="11"/>
        <v>192</v>
      </c>
      <c r="AA7" s="63" t="s">
        <v>19</v>
      </c>
      <c r="AB7" s="66" t="str">
        <f t="shared" si="12"/>
        <v>01</v>
      </c>
      <c r="AC7" s="66" t="str">
        <f t="shared" si="13"/>
        <v>005</v>
      </c>
      <c r="AD7" s="66" t="s">
        <v>58</v>
      </c>
      <c r="AE7" s="66" t="s">
        <v>71</v>
      </c>
      <c r="AF7" s="63" t="s">
        <v>59</v>
      </c>
      <c r="AG7" s="63" t="s">
        <v>78</v>
      </c>
      <c r="AH7" s="63" t="s">
        <v>72</v>
      </c>
      <c r="AI7" s="63" t="s">
        <v>63</v>
      </c>
      <c r="AJ7" s="63" t="s">
        <v>45</v>
      </c>
      <c r="AK7" s="63" t="s">
        <v>56</v>
      </c>
      <c r="AL7" s="63" t="s">
        <v>79</v>
      </c>
    </row>
    <row r="8" spans="1:38" s="26" customFormat="1" ht="39.950000000000003" customHeight="1" x14ac:dyDescent="0.25">
      <c r="A8" s="61">
        <v>192</v>
      </c>
      <c r="B8" s="62" t="s">
        <v>18</v>
      </c>
      <c r="C8" s="62" t="s">
        <v>25</v>
      </c>
      <c r="D8" s="63" t="s">
        <v>0</v>
      </c>
      <c r="E8" s="63" t="s">
        <v>2</v>
      </c>
      <c r="F8" s="63">
        <v>25</v>
      </c>
      <c r="G8" s="63" t="s">
        <v>51</v>
      </c>
      <c r="H8" s="63">
        <v>250</v>
      </c>
      <c r="I8" s="63" t="s">
        <v>73</v>
      </c>
      <c r="J8" s="63" t="s">
        <v>74</v>
      </c>
      <c r="K8" s="63" t="s">
        <v>75</v>
      </c>
      <c r="L8" s="63" t="s">
        <v>76</v>
      </c>
      <c r="M8" s="63" t="s">
        <v>77</v>
      </c>
      <c r="N8" s="63">
        <v>2026</v>
      </c>
      <c r="O8" s="63" t="s">
        <v>13</v>
      </c>
      <c r="P8" s="64">
        <f t="shared" si="14"/>
        <v>25</v>
      </c>
      <c r="Q8" s="63" t="s">
        <v>14</v>
      </c>
      <c r="R8" s="63" t="s">
        <v>70</v>
      </c>
      <c r="S8" s="63" t="s">
        <v>19</v>
      </c>
      <c r="T8" s="65">
        <f t="shared" si="15"/>
        <v>25</v>
      </c>
      <c r="U8" s="65" t="s">
        <v>19</v>
      </c>
      <c r="V8" s="65">
        <f t="shared" si="16"/>
        <v>250</v>
      </c>
      <c r="W8" s="63" t="s">
        <v>19</v>
      </c>
      <c r="X8" s="63">
        <f t="shared" si="10"/>
        <v>2026</v>
      </c>
      <c r="Y8" s="63" t="s">
        <v>19</v>
      </c>
      <c r="Z8" s="63">
        <f t="shared" si="11"/>
        <v>192</v>
      </c>
      <c r="AA8" s="63" t="s">
        <v>19</v>
      </c>
      <c r="AB8" s="66" t="str">
        <f t="shared" si="12"/>
        <v>01</v>
      </c>
      <c r="AC8" s="66" t="str">
        <f t="shared" si="13"/>
        <v>006</v>
      </c>
      <c r="AD8" s="66" t="s">
        <v>58</v>
      </c>
      <c r="AE8" s="66" t="s">
        <v>71</v>
      </c>
      <c r="AF8" s="63" t="s">
        <v>59</v>
      </c>
      <c r="AG8" s="63" t="s">
        <v>78</v>
      </c>
      <c r="AH8" s="63" t="s">
        <v>72</v>
      </c>
      <c r="AI8" s="63" t="s">
        <v>63</v>
      </c>
      <c r="AJ8" s="63" t="s">
        <v>45</v>
      </c>
      <c r="AK8" s="63" t="s">
        <v>56</v>
      </c>
      <c r="AL8" s="63" t="s">
        <v>79</v>
      </c>
    </row>
    <row r="9" spans="1:38" s="26" customFormat="1" ht="39.950000000000003" customHeight="1" x14ac:dyDescent="0.25">
      <c r="A9" s="61">
        <v>192</v>
      </c>
      <c r="B9" s="62" t="s">
        <v>18</v>
      </c>
      <c r="C9" s="62" t="s">
        <v>26</v>
      </c>
      <c r="D9" s="63" t="s">
        <v>0</v>
      </c>
      <c r="E9" s="63" t="s">
        <v>2</v>
      </c>
      <c r="F9" s="63">
        <v>25</v>
      </c>
      <c r="G9" s="63" t="s">
        <v>51</v>
      </c>
      <c r="H9" s="63">
        <v>250</v>
      </c>
      <c r="I9" s="63" t="s">
        <v>73</v>
      </c>
      <c r="J9" s="63" t="s">
        <v>74</v>
      </c>
      <c r="K9" s="63" t="s">
        <v>75</v>
      </c>
      <c r="L9" s="63" t="s">
        <v>76</v>
      </c>
      <c r="M9" s="63" t="s">
        <v>77</v>
      </c>
      <c r="N9" s="63">
        <v>2026</v>
      </c>
      <c r="O9" s="63" t="s">
        <v>13</v>
      </c>
      <c r="P9" s="64">
        <f t="shared" si="14"/>
        <v>25</v>
      </c>
      <c r="Q9" s="63" t="s">
        <v>14</v>
      </c>
      <c r="R9" s="63" t="s">
        <v>70</v>
      </c>
      <c r="S9" s="63" t="s">
        <v>19</v>
      </c>
      <c r="T9" s="65">
        <f t="shared" si="15"/>
        <v>25</v>
      </c>
      <c r="U9" s="65" t="s">
        <v>19</v>
      </c>
      <c r="V9" s="65">
        <f t="shared" si="16"/>
        <v>250</v>
      </c>
      <c r="W9" s="63" t="s">
        <v>19</v>
      </c>
      <c r="X9" s="63">
        <f t="shared" si="10"/>
        <v>2026</v>
      </c>
      <c r="Y9" s="63" t="s">
        <v>19</v>
      </c>
      <c r="Z9" s="63">
        <f t="shared" si="11"/>
        <v>192</v>
      </c>
      <c r="AA9" s="63" t="s">
        <v>19</v>
      </c>
      <c r="AB9" s="66" t="str">
        <f t="shared" si="12"/>
        <v>01</v>
      </c>
      <c r="AC9" s="66" t="str">
        <f t="shared" si="13"/>
        <v>007</v>
      </c>
      <c r="AD9" s="66" t="s">
        <v>58</v>
      </c>
      <c r="AE9" s="66" t="s">
        <v>71</v>
      </c>
      <c r="AF9" s="63" t="s">
        <v>59</v>
      </c>
      <c r="AG9" s="63" t="s">
        <v>78</v>
      </c>
      <c r="AH9" s="63" t="s">
        <v>72</v>
      </c>
      <c r="AI9" s="63" t="s">
        <v>63</v>
      </c>
      <c r="AJ9" s="63" t="s">
        <v>45</v>
      </c>
      <c r="AK9" s="63" t="s">
        <v>56</v>
      </c>
      <c r="AL9" s="63" t="s">
        <v>79</v>
      </c>
    </row>
    <row r="10" spans="1:38" s="26" customFormat="1" ht="39.950000000000003" customHeight="1" x14ac:dyDescent="0.25">
      <c r="A10" s="61">
        <v>192</v>
      </c>
      <c r="B10" s="62" t="s">
        <v>18</v>
      </c>
      <c r="C10" s="62" t="s">
        <v>27</v>
      </c>
      <c r="D10" s="63" t="s">
        <v>0</v>
      </c>
      <c r="E10" s="63" t="s">
        <v>2</v>
      </c>
      <c r="F10" s="63">
        <v>25</v>
      </c>
      <c r="G10" s="63" t="s">
        <v>51</v>
      </c>
      <c r="H10" s="63">
        <v>250</v>
      </c>
      <c r="I10" s="63" t="s">
        <v>73</v>
      </c>
      <c r="J10" s="63" t="s">
        <v>74</v>
      </c>
      <c r="K10" s="63" t="s">
        <v>75</v>
      </c>
      <c r="L10" s="63" t="s">
        <v>76</v>
      </c>
      <c r="M10" s="63" t="s">
        <v>77</v>
      </c>
      <c r="N10" s="63">
        <v>2026</v>
      </c>
      <c r="O10" s="63" t="s">
        <v>13</v>
      </c>
      <c r="P10" s="64">
        <f t="shared" si="14"/>
        <v>25</v>
      </c>
      <c r="Q10" s="63" t="s">
        <v>14</v>
      </c>
      <c r="R10" s="63" t="s">
        <v>70</v>
      </c>
      <c r="S10" s="63" t="s">
        <v>19</v>
      </c>
      <c r="T10" s="65">
        <f t="shared" si="15"/>
        <v>25</v>
      </c>
      <c r="U10" s="65" t="s">
        <v>19</v>
      </c>
      <c r="V10" s="65">
        <f t="shared" si="16"/>
        <v>250</v>
      </c>
      <c r="W10" s="63" t="s">
        <v>19</v>
      </c>
      <c r="X10" s="63">
        <f t="shared" ref="X10:X13" si="17">N10</f>
        <v>2026</v>
      </c>
      <c r="Y10" s="63" t="s">
        <v>19</v>
      </c>
      <c r="Z10" s="63">
        <f t="shared" ref="Z10:Z13" si="18">A10</f>
        <v>192</v>
      </c>
      <c r="AA10" s="63" t="s">
        <v>19</v>
      </c>
      <c r="AB10" s="66" t="str">
        <f t="shared" ref="AB10:AB13" si="19">B10</f>
        <v>01</v>
      </c>
      <c r="AC10" s="66" t="str">
        <f t="shared" ref="AC10:AC13" si="20">C10</f>
        <v>008</v>
      </c>
      <c r="AD10" s="66" t="s">
        <v>58</v>
      </c>
      <c r="AE10" s="66" t="s">
        <v>71</v>
      </c>
      <c r="AF10" s="63" t="s">
        <v>59</v>
      </c>
      <c r="AG10" s="63" t="s">
        <v>78</v>
      </c>
      <c r="AH10" s="63" t="s">
        <v>72</v>
      </c>
      <c r="AI10" s="63" t="s">
        <v>63</v>
      </c>
      <c r="AJ10" s="63" t="s">
        <v>45</v>
      </c>
      <c r="AK10" s="63" t="s">
        <v>56</v>
      </c>
      <c r="AL10" s="63" t="s">
        <v>79</v>
      </c>
    </row>
    <row r="11" spans="1:38" s="26" customFormat="1" ht="39.950000000000003" customHeight="1" x14ac:dyDescent="0.25">
      <c r="A11" s="61">
        <v>192</v>
      </c>
      <c r="B11" s="62" t="s">
        <v>18</v>
      </c>
      <c r="C11" s="62" t="s">
        <v>28</v>
      </c>
      <c r="D11" s="63" t="s">
        <v>0</v>
      </c>
      <c r="E11" s="63" t="s">
        <v>2</v>
      </c>
      <c r="F11" s="63">
        <v>25</v>
      </c>
      <c r="G11" s="63" t="s">
        <v>51</v>
      </c>
      <c r="H11" s="63">
        <v>250</v>
      </c>
      <c r="I11" s="63" t="s">
        <v>73</v>
      </c>
      <c r="J11" s="63" t="s">
        <v>74</v>
      </c>
      <c r="K11" s="63" t="s">
        <v>75</v>
      </c>
      <c r="L11" s="63" t="s">
        <v>76</v>
      </c>
      <c r="M11" s="63" t="s">
        <v>77</v>
      </c>
      <c r="N11" s="63">
        <v>2026</v>
      </c>
      <c r="O11" s="63" t="s">
        <v>13</v>
      </c>
      <c r="P11" s="64">
        <f t="shared" si="14"/>
        <v>25</v>
      </c>
      <c r="Q11" s="63" t="s">
        <v>14</v>
      </c>
      <c r="R11" s="63" t="s">
        <v>70</v>
      </c>
      <c r="S11" s="63" t="s">
        <v>19</v>
      </c>
      <c r="T11" s="65">
        <f t="shared" si="15"/>
        <v>25</v>
      </c>
      <c r="U11" s="65" t="s">
        <v>19</v>
      </c>
      <c r="V11" s="65">
        <f t="shared" si="16"/>
        <v>250</v>
      </c>
      <c r="W11" s="63" t="s">
        <v>19</v>
      </c>
      <c r="X11" s="63">
        <f t="shared" si="17"/>
        <v>2026</v>
      </c>
      <c r="Y11" s="63" t="s">
        <v>19</v>
      </c>
      <c r="Z11" s="63">
        <f t="shared" si="18"/>
        <v>192</v>
      </c>
      <c r="AA11" s="63" t="s">
        <v>19</v>
      </c>
      <c r="AB11" s="66" t="str">
        <f t="shared" si="19"/>
        <v>01</v>
      </c>
      <c r="AC11" s="66" t="str">
        <f t="shared" si="20"/>
        <v>009</v>
      </c>
      <c r="AD11" s="66" t="s">
        <v>58</v>
      </c>
      <c r="AE11" s="66" t="s">
        <v>71</v>
      </c>
      <c r="AF11" s="63" t="s">
        <v>59</v>
      </c>
      <c r="AG11" s="63" t="s">
        <v>78</v>
      </c>
      <c r="AH11" s="63" t="s">
        <v>72</v>
      </c>
      <c r="AI11" s="63" t="s">
        <v>63</v>
      </c>
      <c r="AJ11" s="63" t="s">
        <v>45</v>
      </c>
      <c r="AK11" s="63" t="s">
        <v>56</v>
      </c>
      <c r="AL11" s="63" t="s">
        <v>79</v>
      </c>
    </row>
    <row r="12" spans="1:38" s="26" customFormat="1" ht="39.950000000000003" customHeight="1" x14ac:dyDescent="0.25">
      <c r="A12" s="61">
        <v>192</v>
      </c>
      <c r="B12" s="62" t="s">
        <v>18</v>
      </c>
      <c r="C12" s="62" t="s">
        <v>29</v>
      </c>
      <c r="D12" s="63" t="s">
        <v>0</v>
      </c>
      <c r="E12" s="63" t="s">
        <v>2</v>
      </c>
      <c r="F12" s="63">
        <v>25</v>
      </c>
      <c r="G12" s="63" t="s">
        <v>51</v>
      </c>
      <c r="H12" s="63">
        <v>250</v>
      </c>
      <c r="I12" s="63" t="s">
        <v>73</v>
      </c>
      <c r="J12" s="63" t="s">
        <v>74</v>
      </c>
      <c r="K12" s="63" t="s">
        <v>75</v>
      </c>
      <c r="L12" s="63" t="s">
        <v>76</v>
      </c>
      <c r="M12" s="63" t="s">
        <v>77</v>
      </c>
      <c r="N12" s="63">
        <v>2026</v>
      </c>
      <c r="O12" s="63" t="s">
        <v>13</v>
      </c>
      <c r="P12" s="64">
        <f t="shared" si="14"/>
        <v>25</v>
      </c>
      <c r="Q12" s="63" t="s">
        <v>14</v>
      </c>
      <c r="R12" s="63" t="s">
        <v>70</v>
      </c>
      <c r="S12" s="63" t="s">
        <v>19</v>
      </c>
      <c r="T12" s="65">
        <f t="shared" si="15"/>
        <v>25</v>
      </c>
      <c r="U12" s="65" t="s">
        <v>19</v>
      </c>
      <c r="V12" s="65">
        <f t="shared" si="16"/>
        <v>250</v>
      </c>
      <c r="W12" s="63" t="s">
        <v>19</v>
      </c>
      <c r="X12" s="63">
        <f t="shared" si="17"/>
        <v>2026</v>
      </c>
      <c r="Y12" s="63" t="s">
        <v>19</v>
      </c>
      <c r="Z12" s="63">
        <f t="shared" si="18"/>
        <v>192</v>
      </c>
      <c r="AA12" s="63" t="s">
        <v>19</v>
      </c>
      <c r="AB12" s="66" t="str">
        <f t="shared" si="19"/>
        <v>01</v>
      </c>
      <c r="AC12" s="66" t="str">
        <f t="shared" si="20"/>
        <v>010</v>
      </c>
      <c r="AD12" s="66" t="s">
        <v>58</v>
      </c>
      <c r="AE12" s="66" t="s">
        <v>71</v>
      </c>
      <c r="AF12" s="63" t="s">
        <v>59</v>
      </c>
      <c r="AG12" s="63" t="s">
        <v>78</v>
      </c>
      <c r="AH12" s="63" t="s">
        <v>72</v>
      </c>
      <c r="AI12" s="63" t="s">
        <v>63</v>
      </c>
      <c r="AJ12" s="63" t="s">
        <v>45</v>
      </c>
      <c r="AK12" s="63" t="s">
        <v>56</v>
      </c>
      <c r="AL12" s="63" t="s">
        <v>79</v>
      </c>
    </row>
    <row r="13" spans="1:38" s="26" customFormat="1" ht="39.950000000000003" customHeight="1" x14ac:dyDescent="0.25">
      <c r="A13" s="61">
        <v>192</v>
      </c>
      <c r="B13" s="62" t="s">
        <v>18</v>
      </c>
      <c r="C13" s="62" t="s">
        <v>30</v>
      </c>
      <c r="D13" s="63" t="s">
        <v>0</v>
      </c>
      <c r="E13" s="63" t="s">
        <v>2</v>
      </c>
      <c r="F13" s="63">
        <v>25</v>
      </c>
      <c r="G13" s="63" t="s">
        <v>51</v>
      </c>
      <c r="H13" s="63">
        <v>250</v>
      </c>
      <c r="I13" s="63" t="s">
        <v>73</v>
      </c>
      <c r="J13" s="63" t="s">
        <v>74</v>
      </c>
      <c r="K13" s="63" t="s">
        <v>75</v>
      </c>
      <c r="L13" s="63" t="s">
        <v>76</v>
      </c>
      <c r="M13" s="63" t="s">
        <v>77</v>
      </c>
      <c r="N13" s="63">
        <v>2026</v>
      </c>
      <c r="O13" s="63" t="s">
        <v>13</v>
      </c>
      <c r="P13" s="64">
        <f t="shared" si="14"/>
        <v>25</v>
      </c>
      <c r="Q13" s="63" t="s">
        <v>14</v>
      </c>
      <c r="R13" s="63" t="s">
        <v>70</v>
      </c>
      <c r="S13" s="63" t="s">
        <v>19</v>
      </c>
      <c r="T13" s="65">
        <f t="shared" si="15"/>
        <v>25</v>
      </c>
      <c r="U13" s="65" t="s">
        <v>19</v>
      </c>
      <c r="V13" s="65">
        <f t="shared" si="16"/>
        <v>250</v>
      </c>
      <c r="W13" s="63" t="s">
        <v>19</v>
      </c>
      <c r="X13" s="63">
        <f t="shared" si="17"/>
        <v>2026</v>
      </c>
      <c r="Y13" s="63" t="s">
        <v>19</v>
      </c>
      <c r="Z13" s="63">
        <f t="shared" si="18"/>
        <v>192</v>
      </c>
      <c r="AA13" s="63" t="s">
        <v>19</v>
      </c>
      <c r="AB13" s="66" t="str">
        <f t="shared" si="19"/>
        <v>01</v>
      </c>
      <c r="AC13" s="66" t="str">
        <f t="shared" si="20"/>
        <v>011</v>
      </c>
      <c r="AD13" s="66" t="s">
        <v>58</v>
      </c>
      <c r="AE13" s="66" t="s">
        <v>71</v>
      </c>
      <c r="AF13" s="63" t="s">
        <v>59</v>
      </c>
      <c r="AG13" s="63" t="s">
        <v>78</v>
      </c>
      <c r="AH13" s="63" t="s">
        <v>72</v>
      </c>
      <c r="AI13" s="63" t="s">
        <v>63</v>
      </c>
      <c r="AJ13" s="63" t="s">
        <v>45</v>
      </c>
      <c r="AK13" s="63" t="s">
        <v>56</v>
      </c>
      <c r="AL13" s="63" t="s">
        <v>79</v>
      </c>
    </row>
    <row r="14" spans="1:38" s="26" customFormat="1" ht="39.950000000000003" customHeight="1" x14ac:dyDescent="0.25">
      <c r="A14" s="67">
        <v>192</v>
      </c>
      <c r="B14" s="68" t="s">
        <v>65</v>
      </c>
      <c r="C14" s="68" t="s">
        <v>20</v>
      </c>
      <c r="D14" s="69" t="s">
        <v>0</v>
      </c>
      <c r="E14" s="69" t="s">
        <v>2</v>
      </c>
      <c r="F14" s="69">
        <v>32</v>
      </c>
      <c r="G14" s="69" t="s">
        <v>51</v>
      </c>
      <c r="H14" s="69">
        <v>16</v>
      </c>
      <c r="I14" s="69" t="s">
        <v>80</v>
      </c>
      <c r="J14" s="69" t="s">
        <v>74</v>
      </c>
      <c r="K14" s="69" t="s">
        <v>75</v>
      </c>
      <c r="L14" s="69" t="s">
        <v>81</v>
      </c>
      <c r="M14" s="69" t="s">
        <v>77</v>
      </c>
      <c r="N14" s="69">
        <v>2026</v>
      </c>
      <c r="O14" s="69" t="s">
        <v>13</v>
      </c>
      <c r="P14" s="70">
        <f t="shared" ref="P14:P21" si="21">H14/10</f>
        <v>1.6</v>
      </c>
      <c r="Q14" s="69" t="s">
        <v>14</v>
      </c>
      <c r="R14" s="69" t="s">
        <v>70</v>
      </c>
      <c r="S14" s="69" t="s">
        <v>19</v>
      </c>
      <c r="T14" s="71">
        <f t="shared" ref="T14:T21" si="22">F14</f>
        <v>32</v>
      </c>
      <c r="U14" s="71" t="s">
        <v>19</v>
      </c>
      <c r="V14" s="71">
        <f t="shared" ref="V14:V21" si="23">H14</f>
        <v>16</v>
      </c>
      <c r="W14" s="69" t="s">
        <v>19</v>
      </c>
      <c r="X14" s="69">
        <f t="shared" ref="X14" si="24">N14</f>
        <v>2026</v>
      </c>
      <c r="Y14" s="69" t="s">
        <v>19</v>
      </c>
      <c r="Z14" s="69">
        <f t="shared" ref="Z14" si="25">A14</f>
        <v>192</v>
      </c>
      <c r="AA14" s="69" t="s">
        <v>19</v>
      </c>
      <c r="AB14" s="72" t="str">
        <f t="shared" ref="AB14" si="26">B14</f>
        <v>02</v>
      </c>
      <c r="AC14" s="72" t="str">
        <f t="shared" ref="AC14" si="27">C14</f>
        <v>001</v>
      </c>
      <c r="AD14" s="72" t="s">
        <v>58</v>
      </c>
      <c r="AE14" s="72" t="s">
        <v>84</v>
      </c>
      <c r="AF14" s="69" t="s">
        <v>59</v>
      </c>
      <c r="AG14" s="69" t="s">
        <v>82</v>
      </c>
      <c r="AH14" s="69" t="s">
        <v>72</v>
      </c>
      <c r="AI14" s="69" t="s">
        <v>63</v>
      </c>
      <c r="AJ14" s="69" t="s">
        <v>45</v>
      </c>
      <c r="AK14" s="69" t="s">
        <v>56</v>
      </c>
      <c r="AL14" s="69" t="s">
        <v>79</v>
      </c>
    </row>
    <row r="15" spans="1:38" s="26" customFormat="1" ht="39.950000000000003" customHeight="1" x14ac:dyDescent="0.25">
      <c r="A15" s="67">
        <v>192</v>
      </c>
      <c r="B15" s="68" t="s">
        <v>65</v>
      </c>
      <c r="C15" s="68" t="s">
        <v>21</v>
      </c>
      <c r="D15" s="69" t="s">
        <v>0</v>
      </c>
      <c r="E15" s="69" t="s">
        <v>2</v>
      </c>
      <c r="F15" s="69">
        <v>32</v>
      </c>
      <c r="G15" s="69" t="s">
        <v>51</v>
      </c>
      <c r="H15" s="69">
        <v>16</v>
      </c>
      <c r="I15" s="69" t="s">
        <v>80</v>
      </c>
      <c r="J15" s="69" t="s">
        <v>74</v>
      </c>
      <c r="K15" s="69" t="s">
        <v>75</v>
      </c>
      <c r="L15" s="69" t="s">
        <v>81</v>
      </c>
      <c r="M15" s="69" t="s">
        <v>77</v>
      </c>
      <c r="N15" s="69">
        <v>2026</v>
      </c>
      <c r="O15" s="69" t="s">
        <v>13</v>
      </c>
      <c r="P15" s="70">
        <f t="shared" si="21"/>
        <v>1.6</v>
      </c>
      <c r="Q15" s="69" t="s">
        <v>14</v>
      </c>
      <c r="R15" s="69" t="s">
        <v>70</v>
      </c>
      <c r="S15" s="69" t="s">
        <v>19</v>
      </c>
      <c r="T15" s="71">
        <f t="shared" si="22"/>
        <v>32</v>
      </c>
      <c r="U15" s="71" t="s">
        <v>19</v>
      </c>
      <c r="V15" s="71">
        <f t="shared" si="23"/>
        <v>16</v>
      </c>
      <c r="W15" s="69" t="s">
        <v>19</v>
      </c>
      <c r="X15" s="69">
        <f t="shared" ref="X15:X16" si="28">N15</f>
        <v>2026</v>
      </c>
      <c r="Y15" s="69" t="s">
        <v>19</v>
      </c>
      <c r="Z15" s="69">
        <f t="shared" ref="Z15:Z16" si="29">A15</f>
        <v>192</v>
      </c>
      <c r="AA15" s="69" t="s">
        <v>19</v>
      </c>
      <c r="AB15" s="72" t="str">
        <f t="shared" ref="AB15:AB16" si="30">B15</f>
        <v>02</v>
      </c>
      <c r="AC15" s="72" t="str">
        <f t="shared" ref="AC15:AC16" si="31">C15</f>
        <v>002</v>
      </c>
      <c r="AD15" s="72" t="s">
        <v>58</v>
      </c>
      <c r="AE15" s="72" t="s">
        <v>84</v>
      </c>
      <c r="AF15" s="69" t="s">
        <v>59</v>
      </c>
      <c r="AG15" s="69" t="s">
        <v>82</v>
      </c>
      <c r="AH15" s="69" t="s">
        <v>72</v>
      </c>
      <c r="AI15" s="69" t="s">
        <v>63</v>
      </c>
      <c r="AJ15" s="69" t="s">
        <v>45</v>
      </c>
      <c r="AK15" s="69" t="s">
        <v>56</v>
      </c>
      <c r="AL15" s="69" t="s">
        <v>79</v>
      </c>
    </row>
    <row r="16" spans="1:38" s="26" customFormat="1" ht="39.950000000000003" customHeight="1" x14ac:dyDescent="0.25">
      <c r="A16" s="67">
        <v>192</v>
      </c>
      <c r="B16" s="68" t="s">
        <v>65</v>
      </c>
      <c r="C16" s="68" t="s">
        <v>22</v>
      </c>
      <c r="D16" s="69" t="s">
        <v>0</v>
      </c>
      <c r="E16" s="69" t="s">
        <v>2</v>
      </c>
      <c r="F16" s="69">
        <v>32</v>
      </c>
      <c r="G16" s="69" t="s">
        <v>51</v>
      </c>
      <c r="H16" s="69">
        <v>16</v>
      </c>
      <c r="I16" s="69" t="s">
        <v>80</v>
      </c>
      <c r="J16" s="69" t="s">
        <v>74</v>
      </c>
      <c r="K16" s="69" t="s">
        <v>75</v>
      </c>
      <c r="L16" s="69" t="s">
        <v>81</v>
      </c>
      <c r="M16" s="69" t="s">
        <v>77</v>
      </c>
      <c r="N16" s="69">
        <v>2026</v>
      </c>
      <c r="O16" s="69" t="s">
        <v>13</v>
      </c>
      <c r="P16" s="70">
        <f t="shared" si="21"/>
        <v>1.6</v>
      </c>
      <c r="Q16" s="69" t="s">
        <v>14</v>
      </c>
      <c r="R16" s="69" t="s">
        <v>70</v>
      </c>
      <c r="S16" s="69" t="s">
        <v>19</v>
      </c>
      <c r="T16" s="71">
        <f t="shared" si="22"/>
        <v>32</v>
      </c>
      <c r="U16" s="71" t="s">
        <v>19</v>
      </c>
      <c r="V16" s="71">
        <f t="shared" si="23"/>
        <v>16</v>
      </c>
      <c r="W16" s="69" t="s">
        <v>19</v>
      </c>
      <c r="X16" s="69">
        <f t="shared" si="28"/>
        <v>2026</v>
      </c>
      <c r="Y16" s="69" t="s">
        <v>19</v>
      </c>
      <c r="Z16" s="69">
        <f t="shared" si="29"/>
        <v>192</v>
      </c>
      <c r="AA16" s="69" t="s">
        <v>19</v>
      </c>
      <c r="AB16" s="72" t="str">
        <f t="shared" si="30"/>
        <v>02</v>
      </c>
      <c r="AC16" s="72" t="str">
        <f t="shared" si="31"/>
        <v>003</v>
      </c>
      <c r="AD16" s="72" t="s">
        <v>58</v>
      </c>
      <c r="AE16" s="72" t="s">
        <v>84</v>
      </c>
      <c r="AF16" s="69" t="s">
        <v>59</v>
      </c>
      <c r="AG16" s="69" t="s">
        <v>82</v>
      </c>
      <c r="AH16" s="69" t="s">
        <v>72</v>
      </c>
      <c r="AI16" s="69" t="s">
        <v>63</v>
      </c>
      <c r="AJ16" s="69" t="s">
        <v>45</v>
      </c>
      <c r="AK16" s="69" t="s">
        <v>56</v>
      </c>
      <c r="AL16" s="69" t="s">
        <v>79</v>
      </c>
    </row>
    <row r="17" spans="1:38" s="26" customFormat="1" ht="39.950000000000003" customHeight="1" x14ac:dyDescent="0.25">
      <c r="A17" s="67">
        <v>192</v>
      </c>
      <c r="B17" s="68" t="s">
        <v>65</v>
      </c>
      <c r="C17" s="68" t="s">
        <v>23</v>
      </c>
      <c r="D17" s="69" t="s">
        <v>0</v>
      </c>
      <c r="E17" s="69" t="s">
        <v>2</v>
      </c>
      <c r="F17" s="69">
        <v>32</v>
      </c>
      <c r="G17" s="69" t="s">
        <v>51</v>
      </c>
      <c r="H17" s="69">
        <v>16</v>
      </c>
      <c r="I17" s="69" t="s">
        <v>80</v>
      </c>
      <c r="J17" s="69" t="s">
        <v>74</v>
      </c>
      <c r="K17" s="69" t="s">
        <v>75</v>
      </c>
      <c r="L17" s="69" t="s">
        <v>81</v>
      </c>
      <c r="M17" s="69" t="s">
        <v>77</v>
      </c>
      <c r="N17" s="69">
        <v>2026</v>
      </c>
      <c r="O17" s="69" t="s">
        <v>13</v>
      </c>
      <c r="P17" s="70">
        <f t="shared" si="21"/>
        <v>1.6</v>
      </c>
      <c r="Q17" s="69" t="s">
        <v>14</v>
      </c>
      <c r="R17" s="69" t="s">
        <v>70</v>
      </c>
      <c r="S17" s="69" t="s">
        <v>19</v>
      </c>
      <c r="T17" s="71">
        <f t="shared" si="22"/>
        <v>32</v>
      </c>
      <c r="U17" s="71" t="s">
        <v>19</v>
      </c>
      <c r="V17" s="71">
        <f t="shared" si="23"/>
        <v>16</v>
      </c>
      <c r="W17" s="69" t="s">
        <v>19</v>
      </c>
      <c r="X17" s="69">
        <f t="shared" ref="X17:X18" si="32">N17</f>
        <v>2026</v>
      </c>
      <c r="Y17" s="69" t="s">
        <v>19</v>
      </c>
      <c r="Z17" s="69">
        <f t="shared" ref="Z17:Z18" si="33">A17</f>
        <v>192</v>
      </c>
      <c r="AA17" s="69" t="s">
        <v>19</v>
      </c>
      <c r="AB17" s="72" t="str">
        <f t="shared" ref="AB17:AB18" si="34">B17</f>
        <v>02</v>
      </c>
      <c r="AC17" s="72" t="str">
        <f t="shared" ref="AC17:AC18" si="35">C17</f>
        <v>004</v>
      </c>
      <c r="AD17" s="72" t="s">
        <v>58</v>
      </c>
      <c r="AE17" s="72" t="s">
        <v>84</v>
      </c>
      <c r="AF17" s="69" t="s">
        <v>59</v>
      </c>
      <c r="AG17" s="69" t="s">
        <v>82</v>
      </c>
      <c r="AH17" s="69" t="s">
        <v>72</v>
      </c>
      <c r="AI17" s="69" t="s">
        <v>63</v>
      </c>
      <c r="AJ17" s="69" t="s">
        <v>45</v>
      </c>
      <c r="AK17" s="69" t="s">
        <v>56</v>
      </c>
      <c r="AL17" s="69" t="s">
        <v>79</v>
      </c>
    </row>
    <row r="18" spans="1:38" s="26" customFormat="1" ht="39.950000000000003" customHeight="1" x14ac:dyDescent="0.25">
      <c r="A18" s="61">
        <v>192</v>
      </c>
      <c r="B18" s="62" t="s">
        <v>66</v>
      </c>
      <c r="C18" s="62" t="s">
        <v>20</v>
      </c>
      <c r="D18" s="63" t="s">
        <v>0</v>
      </c>
      <c r="E18" s="63" t="s">
        <v>2</v>
      </c>
      <c r="F18" s="63">
        <v>32</v>
      </c>
      <c r="G18" s="63" t="s">
        <v>51</v>
      </c>
      <c r="H18" s="63">
        <v>250</v>
      </c>
      <c r="I18" s="63" t="s">
        <v>73</v>
      </c>
      <c r="J18" s="63" t="s">
        <v>74</v>
      </c>
      <c r="K18" s="63" t="s">
        <v>75</v>
      </c>
      <c r="L18" s="63" t="s">
        <v>83</v>
      </c>
      <c r="M18" s="63" t="s">
        <v>77</v>
      </c>
      <c r="N18" s="63">
        <v>2026</v>
      </c>
      <c r="O18" s="63" t="s">
        <v>13</v>
      </c>
      <c r="P18" s="64">
        <f t="shared" si="21"/>
        <v>25</v>
      </c>
      <c r="Q18" s="63" t="s">
        <v>14</v>
      </c>
      <c r="R18" s="63" t="s">
        <v>70</v>
      </c>
      <c r="S18" s="63" t="s">
        <v>19</v>
      </c>
      <c r="T18" s="65">
        <f t="shared" si="22"/>
        <v>32</v>
      </c>
      <c r="U18" s="65" t="s">
        <v>19</v>
      </c>
      <c r="V18" s="65">
        <f t="shared" si="23"/>
        <v>250</v>
      </c>
      <c r="W18" s="63" t="s">
        <v>19</v>
      </c>
      <c r="X18" s="63">
        <f t="shared" si="32"/>
        <v>2026</v>
      </c>
      <c r="Y18" s="63" t="s">
        <v>19</v>
      </c>
      <c r="Z18" s="63">
        <f t="shared" si="33"/>
        <v>192</v>
      </c>
      <c r="AA18" s="63" t="s">
        <v>19</v>
      </c>
      <c r="AB18" s="66" t="str">
        <f t="shared" si="34"/>
        <v>03</v>
      </c>
      <c r="AC18" s="66" t="str">
        <f t="shared" si="35"/>
        <v>001</v>
      </c>
      <c r="AD18" s="66" t="s">
        <v>58</v>
      </c>
      <c r="AE18" s="66" t="s">
        <v>71</v>
      </c>
      <c r="AF18" s="63" t="s">
        <v>59</v>
      </c>
      <c r="AG18" s="63" t="s">
        <v>78</v>
      </c>
      <c r="AH18" s="63" t="s">
        <v>72</v>
      </c>
      <c r="AI18" s="63" t="s">
        <v>63</v>
      </c>
      <c r="AJ18" s="63" t="s">
        <v>45</v>
      </c>
      <c r="AK18" s="63" t="s">
        <v>56</v>
      </c>
      <c r="AL18" s="63" t="s">
        <v>79</v>
      </c>
    </row>
    <row r="19" spans="1:38" s="26" customFormat="1" ht="39.950000000000003" customHeight="1" x14ac:dyDescent="0.25">
      <c r="A19" s="61">
        <v>192</v>
      </c>
      <c r="B19" s="62" t="s">
        <v>66</v>
      </c>
      <c r="C19" s="62" t="s">
        <v>21</v>
      </c>
      <c r="D19" s="63" t="s">
        <v>0</v>
      </c>
      <c r="E19" s="63" t="s">
        <v>2</v>
      </c>
      <c r="F19" s="63">
        <v>32</v>
      </c>
      <c r="G19" s="63" t="s">
        <v>51</v>
      </c>
      <c r="H19" s="63">
        <v>250</v>
      </c>
      <c r="I19" s="63" t="s">
        <v>73</v>
      </c>
      <c r="J19" s="63" t="s">
        <v>74</v>
      </c>
      <c r="K19" s="63" t="s">
        <v>75</v>
      </c>
      <c r="L19" s="63" t="s">
        <v>83</v>
      </c>
      <c r="M19" s="63" t="s">
        <v>77</v>
      </c>
      <c r="N19" s="63">
        <v>2026</v>
      </c>
      <c r="O19" s="63" t="s">
        <v>13</v>
      </c>
      <c r="P19" s="64">
        <f t="shared" si="21"/>
        <v>25</v>
      </c>
      <c r="Q19" s="63" t="s">
        <v>14</v>
      </c>
      <c r="R19" s="63" t="s">
        <v>70</v>
      </c>
      <c r="S19" s="63" t="s">
        <v>19</v>
      </c>
      <c r="T19" s="65">
        <f t="shared" si="22"/>
        <v>32</v>
      </c>
      <c r="U19" s="65" t="s">
        <v>19</v>
      </c>
      <c r="V19" s="65">
        <f t="shared" si="23"/>
        <v>250</v>
      </c>
      <c r="W19" s="63" t="s">
        <v>19</v>
      </c>
      <c r="X19" s="63">
        <f t="shared" ref="X19:X20" si="36">N19</f>
        <v>2026</v>
      </c>
      <c r="Y19" s="63" t="s">
        <v>19</v>
      </c>
      <c r="Z19" s="63">
        <f t="shared" ref="Z19:Z20" si="37">A19</f>
        <v>192</v>
      </c>
      <c r="AA19" s="63" t="s">
        <v>19</v>
      </c>
      <c r="AB19" s="66" t="str">
        <f t="shared" ref="AB19:AB20" si="38">B19</f>
        <v>03</v>
      </c>
      <c r="AC19" s="66" t="str">
        <f t="shared" ref="AC19:AC20" si="39">C19</f>
        <v>002</v>
      </c>
      <c r="AD19" s="66" t="s">
        <v>58</v>
      </c>
      <c r="AE19" s="66" t="s">
        <v>71</v>
      </c>
      <c r="AF19" s="63" t="s">
        <v>59</v>
      </c>
      <c r="AG19" s="63" t="s">
        <v>78</v>
      </c>
      <c r="AH19" s="63" t="s">
        <v>72</v>
      </c>
      <c r="AI19" s="63" t="s">
        <v>63</v>
      </c>
      <c r="AJ19" s="63" t="s">
        <v>45</v>
      </c>
      <c r="AK19" s="63" t="s">
        <v>56</v>
      </c>
      <c r="AL19" s="63" t="s">
        <v>79</v>
      </c>
    </row>
    <row r="20" spans="1:38" s="26" customFormat="1" ht="39.950000000000003" customHeight="1" x14ac:dyDescent="0.25">
      <c r="A20" s="61">
        <v>192</v>
      </c>
      <c r="B20" s="62" t="s">
        <v>66</v>
      </c>
      <c r="C20" s="62" t="s">
        <v>22</v>
      </c>
      <c r="D20" s="63" t="s">
        <v>0</v>
      </c>
      <c r="E20" s="63" t="s">
        <v>2</v>
      </c>
      <c r="F20" s="63">
        <v>32</v>
      </c>
      <c r="G20" s="63" t="s">
        <v>51</v>
      </c>
      <c r="H20" s="63">
        <v>250</v>
      </c>
      <c r="I20" s="63" t="s">
        <v>73</v>
      </c>
      <c r="J20" s="63" t="s">
        <v>74</v>
      </c>
      <c r="K20" s="63" t="s">
        <v>75</v>
      </c>
      <c r="L20" s="63" t="s">
        <v>83</v>
      </c>
      <c r="M20" s="63" t="s">
        <v>77</v>
      </c>
      <c r="N20" s="63">
        <v>2026</v>
      </c>
      <c r="O20" s="63" t="s">
        <v>13</v>
      </c>
      <c r="P20" s="64">
        <f t="shared" si="21"/>
        <v>25</v>
      </c>
      <c r="Q20" s="63" t="s">
        <v>14</v>
      </c>
      <c r="R20" s="63" t="s">
        <v>70</v>
      </c>
      <c r="S20" s="63" t="s">
        <v>19</v>
      </c>
      <c r="T20" s="65">
        <f t="shared" si="22"/>
        <v>32</v>
      </c>
      <c r="U20" s="65" t="s">
        <v>19</v>
      </c>
      <c r="V20" s="65">
        <f t="shared" si="23"/>
        <v>250</v>
      </c>
      <c r="W20" s="63" t="s">
        <v>19</v>
      </c>
      <c r="X20" s="63">
        <f t="shared" si="36"/>
        <v>2026</v>
      </c>
      <c r="Y20" s="63" t="s">
        <v>19</v>
      </c>
      <c r="Z20" s="63">
        <f t="shared" si="37"/>
        <v>192</v>
      </c>
      <c r="AA20" s="63" t="s">
        <v>19</v>
      </c>
      <c r="AB20" s="66" t="str">
        <f t="shared" si="38"/>
        <v>03</v>
      </c>
      <c r="AC20" s="66" t="str">
        <f t="shared" si="39"/>
        <v>003</v>
      </c>
      <c r="AD20" s="66" t="s">
        <v>58</v>
      </c>
      <c r="AE20" s="66" t="s">
        <v>71</v>
      </c>
      <c r="AF20" s="63" t="s">
        <v>59</v>
      </c>
      <c r="AG20" s="63" t="s">
        <v>78</v>
      </c>
      <c r="AH20" s="63" t="s">
        <v>72</v>
      </c>
      <c r="AI20" s="63" t="s">
        <v>63</v>
      </c>
      <c r="AJ20" s="63" t="s">
        <v>45</v>
      </c>
      <c r="AK20" s="63" t="s">
        <v>56</v>
      </c>
      <c r="AL20" s="63" t="s">
        <v>79</v>
      </c>
    </row>
    <row r="21" spans="1:38" s="26" customFormat="1" ht="39.950000000000003" customHeight="1" x14ac:dyDescent="0.25">
      <c r="A21" s="61">
        <v>192</v>
      </c>
      <c r="B21" s="62" t="s">
        <v>66</v>
      </c>
      <c r="C21" s="62" t="s">
        <v>23</v>
      </c>
      <c r="D21" s="63" t="s">
        <v>0</v>
      </c>
      <c r="E21" s="63" t="s">
        <v>2</v>
      </c>
      <c r="F21" s="63">
        <v>32</v>
      </c>
      <c r="G21" s="63" t="s">
        <v>51</v>
      </c>
      <c r="H21" s="63">
        <v>250</v>
      </c>
      <c r="I21" s="63" t="s">
        <v>73</v>
      </c>
      <c r="J21" s="63" t="s">
        <v>74</v>
      </c>
      <c r="K21" s="63" t="s">
        <v>75</v>
      </c>
      <c r="L21" s="63" t="s">
        <v>83</v>
      </c>
      <c r="M21" s="63" t="s">
        <v>77</v>
      </c>
      <c r="N21" s="63">
        <v>2026</v>
      </c>
      <c r="O21" s="63" t="s">
        <v>13</v>
      </c>
      <c r="P21" s="64">
        <f t="shared" si="21"/>
        <v>25</v>
      </c>
      <c r="Q21" s="63" t="s">
        <v>14</v>
      </c>
      <c r="R21" s="63" t="s">
        <v>70</v>
      </c>
      <c r="S21" s="63" t="s">
        <v>19</v>
      </c>
      <c r="T21" s="65">
        <f t="shared" si="22"/>
        <v>32</v>
      </c>
      <c r="U21" s="65" t="s">
        <v>19</v>
      </c>
      <c r="V21" s="65">
        <f t="shared" si="23"/>
        <v>250</v>
      </c>
      <c r="W21" s="63" t="s">
        <v>19</v>
      </c>
      <c r="X21" s="63">
        <f t="shared" ref="X21" si="40">N21</f>
        <v>2026</v>
      </c>
      <c r="Y21" s="63" t="s">
        <v>19</v>
      </c>
      <c r="Z21" s="63">
        <f t="shared" ref="Z21" si="41">A21</f>
        <v>192</v>
      </c>
      <c r="AA21" s="63" t="s">
        <v>19</v>
      </c>
      <c r="AB21" s="66" t="str">
        <f t="shared" ref="AB21" si="42">B21</f>
        <v>03</v>
      </c>
      <c r="AC21" s="66" t="str">
        <f t="shared" ref="AC21" si="43">C21</f>
        <v>004</v>
      </c>
      <c r="AD21" s="66" t="s">
        <v>58</v>
      </c>
      <c r="AE21" s="66" t="s">
        <v>71</v>
      </c>
      <c r="AF21" s="63" t="s">
        <v>59</v>
      </c>
      <c r="AG21" s="63" t="s">
        <v>78</v>
      </c>
      <c r="AH21" s="63" t="s">
        <v>72</v>
      </c>
      <c r="AI21" s="63" t="s">
        <v>63</v>
      </c>
      <c r="AJ21" s="63" t="s">
        <v>45</v>
      </c>
      <c r="AK21" s="63" t="s">
        <v>56</v>
      </c>
      <c r="AL21" s="63" t="s">
        <v>79</v>
      </c>
    </row>
  </sheetData>
  <autoFilter ref="A1:AK3" xr:uid="{00000000-0009-0000-0000-000001000000}">
    <filterColumn colId="3" showButton="0"/>
    <filterColumn colId="4" showButton="0"/>
    <filterColumn colId="5" showButton="0"/>
    <filterColumn colId="6" showButton="0"/>
    <filterColumn colId="7" showButton="0"/>
    <filterColumn colId="9" showButton="0"/>
    <filterColumn colId="10" showButton="0"/>
    <filterColumn colId="11" showButton="0"/>
    <filterColumn colId="12" showButton="0"/>
    <filterColumn colId="32" showButton="0"/>
    <filterColumn colId="34" showButton="0"/>
    <filterColumn colId="35" showButton="0"/>
  </autoFilter>
  <mergeCells count="10">
    <mergeCell ref="D1:I1"/>
    <mergeCell ref="J1:N1"/>
    <mergeCell ref="AG1:AH1"/>
    <mergeCell ref="AI1:AK1"/>
    <mergeCell ref="E2:F2"/>
    <mergeCell ref="G2:H2"/>
    <mergeCell ref="M2:N2"/>
    <mergeCell ref="O2:Q2"/>
    <mergeCell ref="R2:AC2"/>
    <mergeCell ref="AD2:AF2"/>
  </mergeCells>
  <pageMargins left="0.7" right="0.7" top="0.75" bottom="0.75" header="0.3" footer="0.3"/>
  <pageSetup paperSize="9" scale="2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Без ТЭГОВ</vt:lpstr>
      <vt:lpstr>192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2026-03-03T10:04:37Z</dcterms:modified>
</cp:coreProperties>
</file>